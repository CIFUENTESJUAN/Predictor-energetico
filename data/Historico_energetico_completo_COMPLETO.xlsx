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B73FCA89-F755-41FF-8EC5-399C96A71924}" xr6:coauthVersionLast="47" xr6:coauthVersionMax="47" xr10:uidLastSave="{00000000-0000-0000-0000-000000000000}"/>
  <bookViews>
    <workbookView xWindow="-120" yWindow="-120" windowWidth="26640" windowHeight="14370" activeTab="1" xr2:uid="{00000000-000D-0000-FFFF-FFFF00000000}"/>
  </bookViews>
  <sheets>
    <sheet name="Hoja1" sheetId="1" r:id="rId1"/>
    <sheet name="Hoja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3" l="1"/>
  <c r="G16" i="3"/>
  <c r="G17" i="3"/>
  <c r="G18" i="3"/>
  <c r="G20" i="3"/>
  <c r="G21" i="3"/>
  <c r="G22" i="3"/>
  <c r="G12" i="3"/>
  <c r="G13" i="3"/>
  <c r="G14" i="3"/>
  <c r="G9" i="3"/>
  <c r="G6" i="3"/>
  <c r="G8" i="3"/>
  <c r="G10" i="3"/>
  <c r="G5" i="3"/>
  <c r="J51" i="1"/>
  <c r="W51" i="1"/>
  <c r="X51" i="1" s="1"/>
  <c r="W50" i="1"/>
  <c r="J50" i="1"/>
  <c r="X50" i="1" s="1"/>
  <c r="W49" i="1"/>
  <c r="J49" i="1"/>
  <c r="X49" i="1" s="1"/>
  <c r="W48" i="1"/>
  <c r="X48" i="1" s="1"/>
  <c r="J48" i="1"/>
  <c r="W47" i="1"/>
  <c r="X47" i="1" s="1"/>
  <c r="J47" i="1"/>
  <c r="W46" i="1"/>
  <c r="X46" i="1" s="1"/>
  <c r="J46" i="1"/>
  <c r="G7" i="3" l="1"/>
  <c r="G11" i="3"/>
  <c r="G19" i="3" l="1"/>
</calcChain>
</file>

<file path=xl/sharedStrings.xml><?xml version="1.0" encoding="utf-8"?>
<sst xmlns="http://schemas.openxmlformats.org/spreadsheetml/2006/main" count="37" uniqueCount="37">
  <si>
    <t>Oferta Interna para Consumo Final - PRIMARIOS (TJ)</t>
  </si>
  <si>
    <t>Oferta Interna para Consumo Final - SECUNDARIOS (TJ)</t>
  </si>
  <si>
    <t>TOTAL</t>
  </si>
  <si>
    <t>Consumo Final por Sector (TJ)</t>
  </si>
  <si>
    <t>Año</t>
  </si>
  <si>
    <t>Bagazo</t>
  </si>
  <si>
    <t>Carbón Mineral</t>
  </si>
  <si>
    <t>Gas Natural</t>
  </si>
  <si>
    <t>Hidroenergía</t>
  </si>
  <si>
    <t>Leña</t>
  </si>
  <si>
    <t>Petróleo</t>
  </si>
  <si>
    <t>Residuos</t>
  </si>
  <si>
    <t>Otros Renov.</t>
  </si>
  <si>
    <t>Total Primarios</t>
  </si>
  <si>
    <t>Alcohol Carb.</t>
  </si>
  <si>
    <t>Biodiesel</t>
  </si>
  <si>
    <t>Carbón Leña</t>
  </si>
  <si>
    <t>Coque</t>
  </si>
  <si>
    <t>Diesel</t>
  </si>
  <si>
    <t>Electricidad SIN</t>
  </si>
  <si>
    <t>Autogen/Cogen</t>
  </si>
  <si>
    <t>Fuel Oil</t>
  </si>
  <si>
    <t>Gas Industrial</t>
  </si>
  <si>
    <t>GLP</t>
  </si>
  <si>
    <t>Gasolina Motor</t>
  </si>
  <si>
    <t>Kerosene/Jet</t>
  </si>
  <si>
    <t>Total Secundarios</t>
  </si>
  <si>
    <t>Total General</t>
  </si>
  <si>
    <t>Industrial</t>
  </si>
  <si>
    <t>Residencial</t>
  </si>
  <si>
    <t>Transporte</t>
  </si>
  <si>
    <t>Comercial y Público</t>
  </si>
  <si>
    <t>Consumo Total</t>
  </si>
  <si>
    <t>res</t>
  </si>
  <si>
    <t>ind</t>
  </si>
  <si>
    <t xml:space="preserve">com y pub </t>
  </si>
  <si>
    <t>trqns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</si>
</sst>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D7D31"/>
      </patternFill>
    </fill>
    <fill>
      <patternFill patternType="solid">
        <fgColor rgb="FFA5A5A5"/>
      </patternFill>
    </fill>
    <fill>
      <patternFill patternType="solid">
        <fgColor rgb="FF70AD47"/>
      </patternFill>
    </fill>
    <fill>
      <patternFill patternType="solid">
        <fgColor rgb="FFD6E4F0"/>
      </patternFill>
    </fill>
    <fill>
      <patternFill patternType="solid">
        <fgColor rgb="FFFCE4D6"/>
      </patternFill>
    </fill>
    <fill>
      <patternFill patternType="solid">
        <fgColor rgb="FFD9D9D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0">
    <xf numFmtId="0" fontId="0" fillId="0" borderId="0" xfId="0"/>
    <xf numFmtId="0" fontId="1" fillId="4" borderId="0" xfId="0" applyFont="1" applyFill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 wrapText="1"/>
    </xf>
    <xf numFmtId="0" fontId="2" fillId="6" borderId="0" xfId="0" applyFont="1" applyFill="1" applyAlignment="1">
      <alignment horizontal="center" wrapText="1"/>
    </xf>
    <xf numFmtId="0" fontId="2" fillId="7" borderId="0" xfId="0" applyFont="1" applyFill="1" applyAlignment="1">
      <alignment horizontal="center" wrapText="1"/>
    </xf>
    <xf numFmtId="0" fontId="2" fillId="8" borderId="0" xfId="0" applyFont="1" applyFill="1" applyAlignment="1">
      <alignment horizontal="center" wrapText="1"/>
    </xf>
    <xf numFmtId="4" fontId="0" fillId="0" borderId="0" xfId="0" applyNumberFormat="1"/>
    <xf numFmtId="4" fontId="0" fillId="6" borderId="0" xfId="0" applyNumberFormat="1" applyFill="1"/>
    <xf numFmtId="4" fontId="0" fillId="7" borderId="0" xfId="0" applyNumberFormat="1" applyFill="1"/>
    <xf numFmtId="4" fontId="0" fillId="8" borderId="0" xfId="0" applyNumberFormat="1" applyFill="1"/>
    <xf numFmtId="0" fontId="0" fillId="0" borderId="0" xfId="0"/>
    <xf numFmtId="43" fontId="0" fillId="0" borderId="0" xfId="1" applyFont="1"/>
    <xf numFmtId="4" fontId="0" fillId="9" borderId="0" xfId="0" applyNumberFormat="1" applyFill="1"/>
    <xf numFmtId="4" fontId="0" fillId="10" borderId="0" xfId="0" applyNumberFormat="1" applyFill="1"/>
    <xf numFmtId="4" fontId="0" fillId="11" borderId="0" xfId="0" applyNumberFormat="1" applyFill="1"/>
    <xf numFmtId="0" fontId="1" fillId="2" borderId="0" xfId="0" applyFont="1" applyFill="1" applyAlignment="1">
      <alignment horizontal="center" wrapText="1"/>
    </xf>
    <xf numFmtId="0" fontId="0" fillId="0" borderId="0" xfId="0"/>
    <xf numFmtId="0" fontId="1" fillId="3" borderId="0" xfId="0" applyFont="1" applyFill="1" applyAlignment="1">
      <alignment horizontal="center" wrapText="1"/>
    </xf>
    <xf numFmtId="0" fontId="1" fillId="5" borderId="0" xfId="0" applyFont="1" applyFill="1" applyAlignment="1">
      <alignment horizont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2"/>
  <sheetViews>
    <sheetView workbookViewId="0">
      <pane xSplit="1" ySplit="2" topLeftCell="B28" activePane="bottomRight" state="frozen"/>
      <selection pane="topRight"/>
      <selection pane="bottomLeft"/>
      <selection pane="bottomRight" activeCell="AG49" sqref="AG49"/>
    </sheetView>
  </sheetViews>
  <sheetFormatPr baseColWidth="10" defaultColWidth="9.140625" defaultRowHeight="15" x14ac:dyDescent="0.25"/>
  <cols>
    <col min="1" max="1" width="6" customWidth="1"/>
    <col min="2" max="24" width="15" customWidth="1"/>
    <col min="25" max="26" width="2" customWidth="1"/>
    <col min="27" max="31" width="15" customWidth="1"/>
  </cols>
  <sheetData>
    <row r="1" spans="1:31" x14ac:dyDescent="0.25">
      <c r="B1" s="16" t="s">
        <v>0</v>
      </c>
      <c r="C1" s="17"/>
      <c r="D1" s="17"/>
      <c r="E1" s="17"/>
      <c r="F1" s="17"/>
      <c r="G1" s="17"/>
      <c r="H1" s="17"/>
      <c r="I1" s="17"/>
      <c r="J1" s="17"/>
      <c r="K1" s="18" t="s">
        <v>1</v>
      </c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" t="s">
        <v>2</v>
      </c>
      <c r="AA1" s="19" t="s">
        <v>3</v>
      </c>
      <c r="AB1" s="17"/>
      <c r="AC1" s="17"/>
      <c r="AD1" s="17"/>
      <c r="AE1" s="17"/>
    </row>
    <row r="2" spans="1:31" ht="30" x14ac:dyDescent="0.25">
      <c r="A2" s="2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12</v>
      </c>
      <c r="J2" s="4" t="s">
        <v>13</v>
      </c>
      <c r="K2" s="3" t="s">
        <v>14</v>
      </c>
      <c r="L2" s="3" t="s">
        <v>15</v>
      </c>
      <c r="M2" s="3" t="s">
        <v>16</v>
      </c>
      <c r="N2" s="3" t="s">
        <v>17</v>
      </c>
      <c r="O2" s="3" t="s">
        <v>18</v>
      </c>
      <c r="P2" s="3" t="s">
        <v>19</v>
      </c>
      <c r="Q2" s="3" t="s">
        <v>20</v>
      </c>
      <c r="R2" s="3" t="s">
        <v>21</v>
      </c>
      <c r="S2" s="3" t="s">
        <v>22</v>
      </c>
      <c r="T2" s="3" t="s">
        <v>23</v>
      </c>
      <c r="U2" s="3" t="s">
        <v>24</v>
      </c>
      <c r="V2" s="3" t="s">
        <v>25</v>
      </c>
      <c r="W2" s="5" t="s">
        <v>26</v>
      </c>
      <c r="X2" s="6" t="s">
        <v>27</v>
      </c>
      <c r="AA2" s="3" t="s">
        <v>28</v>
      </c>
      <c r="AB2" s="3" t="s">
        <v>29</v>
      </c>
      <c r="AC2" s="3" t="s">
        <v>30</v>
      </c>
      <c r="AD2" s="3" t="s">
        <v>31</v>
      </c>
      <c r="AE2" s="3" t="s">
        <v>32</v>
      </c>
    </row>
    <row r="3" spans="1:31" x14ac:dyDescent="0.25">
      <c r="A3">
        <v>1975</v>
      </c>
      <c r="B3" s="7">
        <v>63032.89</v>
      </c>
      <c r="C3" s="7">
        <v>57155.08</v>
      </c>
      <c r="D3" s="7">
        <v>7727.35</v>
      </c>
      <c r="E3" s="7">
        <v>0</v>
      </c>
      <c r="F3" s="7">
        <v>297355.07</v>
      </c>
      <c r="G3" s="7">
        <v>7371.6</v>
      </c>
      <c r="H3" s="7">
        <v>252.27</v>
      </c>
      <c r="I3" s="7">
        <v>0</v>
      </c>
      <c r="J3" s="8">
        <v>432894.26</v>
      </c>
      <c r="K3" s="7">
        <v>0</v>
      </c>
      <c r="L3" s="7">
        <v>0</v>
      </c>
      <c r="M3" s="7">
        <v>3744.1</v>
      </c>
      <c r="N3" s="7">
        <v>509.54</v>
      </c>
      <c r="O3" s="7">
        <v>31421.200000000001</v>
      </c>
      <c r="P3" s="7">
        <v>38386.76</v>
      </c>
      <c r="Q3" s="7">
        <v>0</v>
      </c>
      <c r="R3" s="7">
        <v>33272.83</v>
      </c>
      <c r="S3" s="7">
        <v>1142.58</v>
      </c>
      <c r="T3" s="7">
        <v>11747.56</v>
      </c>
      <c r="U3" s="7">
        <v>124909.86</v>
      </c>
      <c r="V3" s="7">
        <v>26812.48</v>
      </c>
      <c r="W3" s="9">
        <v>274931.57</v>
      </c>
      <c r="X3" s="10">
        <v>707825.83</v>
      </c>
      <c r="AA3" s="7">
        <v>143100.79999999999</v>
      </c>
      <c r="AB3" s="7">
        <v>336845.18</v>
      </c>
      <c r="AC3" s="7">
        <v>148684.6</v>
      </c>
      <c r="AD3" s="7">
        <v>54566.37</v>
      </c>
      <c r="AE3" s="7">
        <v>697270.81</v>
      </c>
    </row>
    <row r="4" spans="1:31" x14ac:dyDescent="0.25">
      <c r="A4">
        <v>1976</v>
      </c>
      <c r="B4" s="7">
        <v>67649.11</v>
      </c>
      <c r="C4" s="7">
        <v>46187.58</v>
      </c>
      <c r="D4" s="7">
        <v>8946.5400000000009</v>
      </c>
      <c r="E4" s="7">
        <v>0</v>
      </c>
      <c r="F4" s="7">
        <v>287094.27</v>
      </c>
      <c r="G4" s="7">
        <v>4809.3999999999996</v>
      </c>
      <c r="H4" s="7">
        <v>215.17</v>
      </c>
      <c r="I4" s="7">
        <v>0</v>
      </c>
      <c r="J4" s="8">
        <v>414902.06</v>
      </c>
      <c r="K4" s="7">
        <v>0</v>
      </c>
      <c r="L4" s="7">
        <v>0</v>
      </c>
      <c r="M4" s="7">
        <v>3721.24</v>
      </c>
      <c r="N4" s="7">
        <v>515.66999999999996</v>
      </c>
      <c r="O4" s="7">
        <v>34421.42</v>
      </c>
      <c r="P4" s="7">
        <v>41611.1</v>
      </c>
      <c r="Q4" s="7">
        <v>0</v>
      </c>
      <c r="R4" s="7">
        <v>33671.14</v>
      </c>
      <c r="S4" s="7">
        <v>985.57</v>
      </c>
      <c r="T4" s="7">
        <v>12598.22</v>
      </c>
      <c r="U4" s="7">
        <v>131804.26</v>
      </c>
      <c r="V4" s="7">
        <v>27532.22</v>
      </c>
      <c r="W4" s="9">
        <v>290145.76</v>
      </c>
      <c r="X4" s="10">
        <v>705047.83</v>
      </c>
      <c r="AA4" s="7">
        <v>151264.95000000001</v>
      </c>
      <c r="AB4" s="7">
        <v>329507.03000000003</v>
      </c>
      <c r="AC4" s="7">
        <v>153399.37</v>
      </c>
      <c r="AD4" s="7">
        <v>57430.35</v>
      </c>
      <c r="AE4" s="7">
        <v>709044.94</v>
      </c>
    </row>
    <row r="5" spans="1:31" x14ac:dyDescent="0.25">
      <c r="A5">
        <v>1977</v>
      </c>
      <c r="B5" s="7">
        <v>64233.73</v>
      </c>
      <c r="C5" s="7">
        <v>45543.73</v>
      </c>
      <c r="D5" s="7">
        <v>9926.19</v>
      </c>
      <c r="E5" s="7">
        <v>0</v>
      </c>
      <c r="F5" s="7">
        <v>282685.58</v>
      </c>
      <c r="G5" s="7">
        <v>4577.3999999999996</v>
      </c>
      <c r="H5" s="7">
        <v>262.41000000000003</v>
      </c>
      <c r="I5" s="7">
        <v>0</v>
      </c>
      <c r="J5" s="8">
        <v>407229.05</v>
      </c>
      <c r="K5" s="7">
        <v>0</v>
      </c>
      <c r="L5" s="7">
        <v>0</v>
      </c>
      <c r="M5" s="7">
        <v>3852.94</v>
      </c>
      <c r="N5" s="7">
        <v>521.87</v>
      </c>
      <c r="O5" s="7">
        <v>37372.03</v>
      </c>
      <c r="P5" s="7">
        <v>42994.05</v>
      </c>
      <c r="Q5" s="7">
        <v>0</v>
      </c>
      <c r="R5" s="7">
        <v>38343.53</v>
      </c>
      <c r="S5" s="7">
        <v>1027.8599999999999</v>
      </c>
      <c r="T5" s="7">
        <v>11842.83</v>
      </c>
      <c r="U5" s="7">
        <v>139022.14000000001</v>
      </c>
      <c r="V5" s="7">
        <v>28778.22</v>
      </c>
      <c r="W5" s="9">
        <v>306698.21999999997</v>
      </c>
      <c r="X5" s="10">
        <v>713927.27</v>
      </c>
      <c r="AA5" s="7">
        <v>152312.24</v>
      </c>
      <c r="AB5" s="7">
        <v>325839.28999999998</v>
      </c>
      <c r="AC5" s="7">
        <v>158156.1</v>
      </c>
      <c r="AD5" s="7">
        <v>62024.62</v>
      </c>
      <c r="AE5" s="7">
        <v>710329.33</v>
      </c>
    </row>
    <row r="6" spans="1:31" x14ac:dyDescent="0.25">
      <c r="A6">
        <v>1978</v>
      </c>
      <c r="B6" s="7">
        <v>69939.86</v>
      </c>
      <c r="C6" s="7">
        <v>46815.79</v>
      </c>
      <c r="D6" s="7">
        <v>21516.799999999999</v>
      </c>
      <c r="E6" s="7">
        <v>0</v>
      </c>
      <c r="F6" s="7">
        <v>286401.40000000002</v>
      </c>
      <c r="G6" s="7">
        <v>3866.94</v>
      </c>
      <c r="H6" s="7">
        <v>251.15</v>
      </c>
      <c r="I6" s="7">
        <v>0</v>
      </c>
      <c r="J6" s="8">
        <v>428791.94</v>
      </c>
      <c r="K6" s="7">
        <v>0</v>
      </c>
      <c r="L6" s="7">
        <v>0</v>
      </c>
      <c r="M6" s="7">
        <v>3986.81</v>
      </c>
      <c r="N6" s="7">
        <v>528.14</v>
      </c>
      <c r="O6" s="7">
        <v>42287.68</v>
      </c>
      <c r="P6" s="7">
        <v>47654.69</v>
      </c>
      <c r="Q6" s="7">
        <v>0</v>
      </c>
      <c r="R6" s="7">
        <v>30257.8</v>
      </c>
      <c r="S6" s="7">
        <v>815.59</v>
      </c>
      <c r="T6" s="7">
        <v>10912.77</v>
      </c>
      <c r="U6" s="7">
        <v>147816.76999999999</v>
      </c>
      <c r="V6" s="7">
        <v>29339.87</v>
      </c>
      <c r="W6" s="9">
        <v>317001.25</v>
      </c>
      <c r="X6" s="10">
        <v>745793.2</v>
      </c>
      <c r="AA6" s="7">
        <v>160629.82999999999</v>
      </c>
      <c r="AB6" s="7">
        <v>326798.78000000003</v>
      </c>
      <c r="AC6" s="7">
        <v>169341.72</v>
      </c>
      <c r="AD6" s="7">
        <v>63937.96</v>
      </c>
      <c r="AE6" s="7">
        <v>742270.83</v>
      </c>
    </row>
    <row r="7" spans="1:31" x14ac:dyDescent="0.25">
      <c r="A7">
        <v>1979</v>
      </c>
      <c r="B7" s="7">
        <v>73434.14</v>
      </c>
      <c r="C7" s="7">
        <v>44304.99</v>
      </c>
      <c r="D7" s="7">
        <v>16496.060000000001</v>
      </c>
      <c r="E7" s="7">
        <v>0</v>
      </c>
      <c r="F7" s="7">
        <v>278352.62</v>
      </c>
      <c r="G7" s="7">
        <v>8244.0400000000009</v>
      </c>
      <c r="H7" s="7">
        <v>291.97000000000003</v>
      </c>
      <c r="I7" s="7">
        <v>0</v>
      </c>
      <c r="J7" s="8">
        <v>421123.82</v>
      </c>
      <c r="K7" s="7">
        <v>0</v>
      </c>
      <c r="L7" s="7">
        <v>0</v>
      </c>
      <c r="M7" s="7">
        <v>4114.1499999999996</v>
      </c>
      <c r="N7" s="7">
        <v>787.99</v>
      </c>
      <c r="O7" s="7">
        <v>46343.05</v>
      </c>
      <c r="P7" s="7">
        <v>52106.51</v>
      </c>
      <c r="Q7" s="7">
        <v>0</v>
      </c>
      <c r="R7" s="7">
        <v>25190.38</v>
      </c>
      <c r="S7" s="7">
        <v>773.72</v>
      </c>
      <c r="T7" s="7">
        <v>10307.120000000001</v>
      </c>
      <c r="U7" s="7">
        <v>153372.92000000001</v>
      </c>
      <c r="V7" s="7">
        <v>31172.19</v>
      </c>
      <c r="W7" s="9">
        <v>328711.15000000002</v>
      </c>
      <c r="X7" s="10">
        <v>749834.97</v>
      </c>
      <c r="AA7" s="7">
        <v>158438.51</v>
      </c>
      <c r="AB7" s="7">
        <v>327322.13</v>
      </c>
      <c r="AC7" s="7">
        <v>178504.51</v>
      </c>
      <c r="AD7" s="7">
        <v>67117.3</v>
      </c>
      <c r="AE7" s="7">
        <v>748380.14</v>
      </c>
    </row>
    <row r="8" spans="1:31" x14ac:dyDescent="0.25">
      <c r="A8">
        <v>1980</v>
      </c>
      <c r="B8" s="7">
        <v>77599.520000000004</v>
      </c>
      <c r="C8" s="7">
        <v>46881.27</v>
      </c>
      <c r="D8" s="7">
        <v>19868.54</v>
      </c>
      <c r="E8" s="7">
        <v>0</v>
      </c>
      <c r="F8" s="7">
        <v>273685.92</v>
      </c>
      <c r="G8" s="7">
        <v>7343.26</v>
      </c>
      <c r="H8" s="7">
        <v>341.62</v>
      </c>
      <c r="I8" s="7">
        <v>0</v>
      </c>
      <c r="J8" s="8">
        <v>425720.14</v>
      </c>
      <c r="K8" s="7">
        <v>0</v>
      </c>
      <c r="L8" s="7">
        <v>0</v>
      </c>
      <c r="M8" s="7">
        <v>4131.57</v>
      </c>
      <c r="N8" s="7">
        <v>540.91999999999996</v>
      </c>
      <c r="O8" s="7">
        <v>52369.88</v>
      </c>
      <c r="P8" s="7">
        <v>55931.31</v>
      </c>
      <c r="Q8" s="7">
        <v>0</v>
      </c>
      <c r="R8" s="7">
        <v>27418.07</v>
      </c>
      <c r="S8" s="7">
        <v>813.08</v>
      </c>
      <c r="T8" s="7">
        <v>10268.24</v>
      </c>
      <c r="U8" s="7">
        <v>157648.20000000001</v>
      </c>
      <c r="V8" s="7">
        <v>28524.94</v>
      </c>
      <c r="W8" s="9">
        <v>342919.7</v>
      </c>
      <c r="X8" s="10">
        <v>768639.84</v>
      </c>
      <c r="AA8" s="7">
        <v>159825.37</v>
      </c>
      <c r="AB8" s="7">
        <v>324159.09999999998</v>
      </c>
      <c r="AC8" s="7">
        <v>185359.63</v>
      </c>
      <c r="AD8" s="7">
        <v>15065.35</v>
      </c>
      <c r="AE8" s="7">
        <v>758007.62</v>
      </c>
    </row>
    <row r="9" spans="1:31" x14ac:dyDescent="0.25">
      <c r="A9">
        <v>1981</v>
      </c>
      <c r="B9" s="7">
        <v>70598.97</v>
      </c>
      <c r="C9" s="7">
        <v>48563.64</v>
      </c>
      <c r="D9" s="7">
        <v>22049.82</v>
      </c>
      <c r="E9" s="7">
        <v>0</v>
      </c>
      <c r="F9" s="7">
        <v>269144.33</v>
      </c>
      <c r="G9" s="7">
        <v>11329.3</v>
      </c>
      <c r="H9" s="7">
        <v>363.46</v>
      </c>
      <c r="I9" s="7">
        <v>0</v>
      </c>
      <c r="J9" s="8">
        <v>422049.53</v>
      </c>
      <c r="K9" s="7">
        <v>0</v>
      </c>
      <c r="L9" s="7">
        <v>0</v>
      </c>
      <c r="M9" s="7">
        <v>4197.96</v>
      </c>
      <c r="N9" s="7">
        <v>561.82000000000005</v>
      </c>
      <c r="O9" s="7">
        <v>54218.95</v>
      </c>
      <c r="P9" s="7">
        <v>57666.54</v>
      </c>
      <c r="Q9" s="7">
        <v>0</v>
      </c>
      <c r="R9" s="7">
        <v>17262.75</v>
      </c>
      <c r="S9" s="7">
        <v>1171.8900000000001</v>
      </c>
      <c r="T9" s="7">
        <v>10579.55</v>
      </c>
      <c r="U9" s="7">
        <v>155575.53</v>
      </c>
      <c r="V9" s="7">
        <v>30545.31</v>
      </c>
      <c r="W9" s="9">
        <v>336375.53</v>
      </c>
      <c r="X9" s="10">
        <v>758425.07</v>
      </c>
      <c r="AA9" s="7">
        <v>157274.45000000001</v>
      </c>
      <c r="AB9" s="7">
        <v>321050.03000000003</v>
      </c>
      <c r="AC9" s="7">
        <v>187590.33</v>
      </c>
      <c r="AD9" s="7">
        <v>16198.84</v>
      </c>
      <c r="AE9" s="7">
        <v>753904.75</v>
      </c>
    </row>
    <row r="10" spans="1:31" x14ac:dyDescent="0.25">
      <c r="A10">
        <v>1982</v>
      </c>
      <c r="B10" s="7">
        <v>76639.53</v>
      </c>
      <c r="C10" s="7">
        <v>43939.82</v>
      </c>
      <c r="D10" s="7">
        <v>22954.73</v>
      </c>
      <c r="E10" s="7">
        <v>0</v>
      </c>
      <c r="F10" s="7">
        <v>267312.71000000002</v>
      </c>
      <c r="G10" s="7">
        <v>11359.15</v>
      </c>
      <c r="H10" s="7">
        <v>375.84</v>
      </c>
      <c r="I10" s="7">
        <v>0</v>
      </c>
      <c r="J10" s="8">
        <v>422581.78</v>
      </c>
      <c r="K10" s="7">
        <v>0</v>
      </c>
      <c r="L10" s="7">
        <v>0</v>
      </c>
      <c r="M10" s="7">
        <v>4290.47</v>
      </c>
      <c r="N10" s="7">
        <v>599.74</v>
      </c>
      <c r="O10" s="7">
        <v>53928.03</v>
      </c>
      <c r="P10" s="7">
        <v>61242.92</v>
      </c>
      <c r="Q10" s="7">
        <v>0</v>
      </c>
      <c r="R10" s="7">
        <v>15862.36</v>
      </c>
      <c r="S10" s="7">
        <v>1362.38</v>
      </c>
      <c r="T10" s="7">
        <v>12161.77</v>
      </c>
      <c r="U10" s="7">
        <v>156819.48000000001</v>
      </c>
      <c r="V10" s="7">
        <v>30046.18</v>
      </c>
      <c r="W10" s="9">
        <v>339755.62</v>
      </c>
      <c r="X10" s="10">
        <v>762337.4</v>
      </c>
      <c r="AA10" s="7">
        <v>155532.69</v>
      </c>
      <c r="AB10" s="7">
        <v>321752.49</v>
      </c>
      <c r="AC10" s="7">
        <v>191319.98</v>
      </c>
      <c r="AD10" s="7">
        <v>18460.48</v>
      </c>
      <c r="AE10" s="7">
        <v>761465.87</v>
      </c>
    </row>
    <row r="11" spans="1:31" x14ac:dyDescent="0.25">
      <c r="A11">
        <v>1983</v>
      </c>
      <c r="B11" s="7">
        <v>78760.429999999993</v>
      </c>
      <c r="C11" s="7">
        <v>42964.36</v>
      </c>
      <c r="D11" s="7">
        <v>22953.5</v>
      </c>
      <c r="E11" s="7">
        <v>0</v>
      </c>
      <c r="F11" s="7">
        <v>266697</v>
      </c>
      <c r="G11" s="7">
        <v>11642.66</v>
      </c>
      <c r="H11" s="7">
        <v>781.44</v>
      </c>
      <c r="I11" s="7">
        <v>0</v>
      </c>
      <c r="J11" s="8">
        <v>423799.4</v>
      </c>
      <c r="K11" s="7">
        <v>0</v>
      </c>
      <c r="L11" s="7">
        <v>0</v>
      </c>
      <c r="M11" s="7">
        <v>4381.8999999999996</v>
      </c>
      <c r="N11" s="7">
        <v>576.35</v>
      </c>
      <c r="O11" s="7">
        <v>53776.35</v>
      </c>
      <c r="P11" s="7">
        <v>64447.66</v>
      </c>
      <c r="Q11" s="7">
        <v>0</v>
      </c>
      <c r="R11" s="7">
        <v>13324.3</v>
      </c>
      <c r="S11" s="7">
        <v>1227.99</v>
      </c>
      <c r="T11" s="7">
        <v>13048.4</v>
      </c>
      <c r="U11" s="7">
        <v>169676.39</v>
      </c>
      <c r="V11" s="7">
        <v>28271.18</v>
      </c>
      <c r="W11" s="9">
        <v>352480.36</v>
      </c>
      <c r="X11" s="10">
        <v>776279.76</v>
      </c>
      <c r="AA11" s="7">
        <v>165835.44</v>
      </c>
      <c r="AB11" s="7">
        <v>320597.34999999998</v>
      </c>
      <c r="AC11" s="7">
        <v>200843.76</v>
      </c>
      <c r="AD11" s="7">
        <v>19845.61</v>
      </c>
      <c r="AE11" s="7">
        <v>775598.35</v>
      </c>
    </row>
    <row r="12" spans="1:31" x14ac:dyDescent="0.25">
      <c r="A12">
        <v>1984</v>
      </c>
      <c r="B12" s="7">
        <v>83064.289999999994</v>
      </c>
      <c r="C12" s="7">
        <v>55635.22</v>
      </c>
      <c r="D12" s="7">
        <v>24952.03</v>
      </c>
      <c r="E12" s="7">
        <v>0</v>
      </c>
      <c r="F12" s="7">
        <v>261586.88</v>
      </c>
      <c r="G12" s="7">
        <v>19047.990000000002</v>
      </c>
      <c r="H12" s="7">
        <v>870.45</v>
      </c>
      <c r="I12" s="7">
        <v>0</v>
      </c>
      <c r="J12" s="8">
        <v>445156.86</v>
      </c>
      <c r="K12" s="7">
        <v>0</v>
      </c>
      <c r="L12" s="7">
        <v>0</v>
      </c>
      <c r="M12" s="7">
        <v>4479.8500000000004</v>
      </c>
      <c r="N12" s="7">
        <v>477.55</v>
      </c>
      <c r="O12" s="7">
        <v>56621.74</v>
      </c>
      <c r="P12" s="7">
        <v>69326.64</v>
      </c>
      <c r="Q12" s="7">
        <v>0</v>
      </c>
      <c r="R12" s="7">
        <v>5885.05</v>
      </c>
      <c r="S12" s="7">
        <v>1289.53</v>
      </c>
      <c r="T12" s="7">
        <v>13386.14</v>
      </c>
      <c r="U12" s="7">
        <v>169106.63</v>
      </c>
      <c r="V12" s="7">
        <v>24369.66</v>
      </c>
      <c r="W12" s="9">
        <v>348954.29</v>
      </c>
      <c r="X12" s="10">
        <v>794111.15</v>
      </c>
      <c r="AA12" s="7">
        <v>164785.73000000001</v>
      </c>
      <c r="AB12" s="7">
        <v>316242.78000000003</v>
      </c>
      <c r="AC12" s="7">
        <v>201317.2</v>
      </c>
      <c r="AD12" s="7">
        <v>20591.91</v>
      </c>
      <c r="AE12" s="7">
        <v>777511.46</v>
      </c>
    </row>
    <row r="13" spans="1:31" x14ac:dyDescent="0.25">
      <c r="A13">
        <v>1985</v>
      </c>
      <c r="B13" s="7">
        <v>91114.34</v>
      </c>
      <c r="C13" s="7">
        <v>59794.41</v>
      </c>
      <c r="D13" s="7">
        <v>25947.53</v>
      </c>
      <c r="E13" s="7">
        <v>0</v>
      </c>
      <c r="F13" s="7">
        <v>256548.38</v>
      </c>
      <c r="G13" s="7">
        <v>20833.349999999999</v>
      </c>
      <c r="H13" s="7">
        <v>919.64</v>
      </c>
      <c r="I13" s="7">
        <v>0</v>
      </c>
      <c r="J13" s="8">
        <v>455157.65</v>
      </c>
      <c r="K13" s="7">
        <v>0</v>
      </c>
      <c r="L13" s="7">
        <v>0</v>
      </c>
      <c r="M13" s="7">
        <v>4568.01</v>
      </c>
      <c r="N13" s="7">
        <v>754.5</v>
      </c>
      <c r="O13" s="7">
        <v>58625.58</v>
      </c>
      <c r="P13" s="7">
        <v>69987.02</v>
      </c>
      <c r="Q13" s="7">
        <v>0</v>
      </c>
      <c r="R13" s="7">
        <v>1346.46</v>
      </c>
      <c r="S13" s="7">
        <v>1159.32</v>
      </c>
      <c r="T13" s="7">
        <v>14631.5</v>
      </c>
      <c r="U13" s="7">
        <v>175703.21</v>
      </c>
      <c r="V13" s="7">
        <v>25295.26</v>
      </c>
      <c r="W13" s="9">
        <v>355779.9</v>
      </c>
      <c r="X13" s="10">
        <v>810937.55</v>
      </c>
      <c r="AA13" s="7">
        <v>175018.36</v>
      </c>
      <c r="AB13" s="7">
        <v>311047.38</v>
      </c>
      <c r="AC13" s="7">
        <v>211691.37</v>
      </c>
      <c r="AD13" s="7">
        <v>22995.07</v>
      </c>
      <c r="AE13" s="7">
        <v>792644.84</v>
      </c>
    </row>
    <row r="14" spans="1:31" x14ac:dyDescent="0.25">
      <c r="A14">
        <v>1986</v>
      </c>
      <c r="B14" s="7">
        <v>87975.29</v>
      </c>
      <c r="C14" s="7">
        <v>62254.25</v>
      </c>
      <c r="D14" s="7">
        <v>25846.33</v>
      </c>
      <c r="E14" s="7">
        <v>0</v>
      </c>
      <c r="F14" s="7">
        <v>252973.94</v>
      </c>
      <c r="G14" s="7">
        <v>22939.52</v>
      </c>
      <c r="H14" s="7">
        <v>998.79</v>
      </c>
      <c r="I14" s="7">
        <v>0</v>
      </c>
      <c r="J14" s="8">
        <v>452988.11</v>
      </c>
      <c r="K14" s="7">
        <v>0</v>
      </c>
      <c r="L14" s="7">
        <v>0</v>
      </c>
      <c r="M14" s="7">
        <v>4568.01</v>
      </c>
      <c r="N14" s="7">
        <v>749.81</v>
      </c>
      <c r="O14" s="7">
        <v>60253.15</v>
      </c>
      <c r="P14" s="7">
        <v>76144.75</v>
      </c>
      <c r="Q14" s="7">
        <v>0</v>
      </c>
      <c r="R14" s="7">
        <v>4584.3599999999997</v>
      </c>
      <c r="S14" s="7">
        <v>1396.3</v>
      </c>
      <c r="T14" s="7">
        <v>15694.48</v>
      </c>
      <c r="U14" s="7">
        <v>184755.7</v>
      </c>
      <c r="V14" s="7">
        <v>22927.73</v>
      </c>
      <c r="W14" s="9">
        <v>383997.02</v>
      </c>
      <c r="X14" s="10">
        <v>836985.14</v>
      </c>
      <c r="AA14" s="7">
        <v>181085.1</v>
      </c>
      <c r="AB14" s="7">
        <v>309645.82</v>
      </c>
      <c r="AC14" s="7">
        <v>218917.35</v>
      </c>
      <c r="AD14" s="7">
        <v>22564.53</v>
      </c>
      <c r="AE14" s="7">
        <v>815942.75</v>
      </c>
    </row>
    <row r="15" spans="1:31" x14ac:dyDescent="0.25">
      <c r="A15">
        <v>1987</v>
      </c>
      <c r="B15" s="7">
        <v>89855.71</v>
      </c>
      <c r="C15" s="7">
        <v>101154.12</v>
      </c>
      <c r="D15" s="7">
        <v>26325.52</v>
      </c>
      <c r="E15" s="7">
        <v>0</v>
      </c>
      <c r="F15" s="7">
        <v>249633.91</v>
      </c>
      <c r="G15" s="7">
        <v>25304.2</v>
      </c>
      <c r="H15" s="7">
        <v>1053.07</v>
      </c>
      <c r="I15" s="7">
        <v>0</v>
      </c>
      <c r="J15" s="8">
        <v>493326.54</v>
      </c>
      <c r="K15" s="7">
        <v>0</v>
      </c>
      <c r="L15" s="7">
        <v>0</v>
      </c>
      <c r="M15" s="7">
        <v>4663.79</v>
      </c>
      <c r="N15" s="7">
        <v>759.52</v>
      </c>
      <c r="O15" s="7">
        <v>65291.05</v>
      </c>
      <c r="P15" s="7">
        <v>80800.69</v>
      </c>
      <c r="Q15" s="7">
        <v>0</v>
      </c>
      <c r="R15" s="7">
        <v>5784.27</v>
      </c>
      <c r="S15" s="7">
        <v>1025.77</v>
      </c>
      <c r="T15" s="7">
        <v>15610.24</v>
      </c>
      <c r="U15" s="7">
        <v>196940.57</v>
      </c>
      <c r="V15" s="7">
        <v>23795.91</v>
      </c>
      <c r="W15" s="9">
        <v>407311.14</v>
      </c>
      <c r="X15" s="10">
        <v>900637.68</v>
      </c>
      <c r="AA15" s="7">
        <v>190050.3</v>
      </c>
      <c r="AB15" s="7">
        <v>312857.14</v>
      </c>
      <c r="AC15" s="7">
        <v>231003.14</v>
      </c>
      <c r="AD15" s="7">
        <v>24720.95</v>
      </c>
      <c r="AE15" s="7">
        <v>848310.73</v>
      </c>
    </row>
    <row r="16" spans="1:31" x14ac:dyDescent="0.25">
      <c r="A16">
        <v>1988</v>
      </c>
      <c r="B16" s="7">
        <v>89559.71</v>
      </c>
      <c r="C16" s="7">
        <v>64550.12</v>
      </c>
      <c r="D16" s="7">
        <v>26615.919999999998</v>
      </c>
      <c r="E16" s="7">
        <v>0</v>
      </c>
      <c r="F16" s="7">
        <v>247366.69</v>
      </c>
      <c r="G16" s="7">
        <v>28241.02</v>
      </c>
      <c r="H16" s="7">
        <v>1003.6</v>
      </c>
      <c r="I16" s="7">
        <v>0</v>
      </c>
      <c r="J16" s="8">
        <v>457337.06</v>
      </c>
      <c r="K16" s="7">
        <v>0</v>
      </c>
      <c r="L16" s="7">
        <v>0</v>
      </c>
      <c r="M16" s="7">
        <v>4759.57</v>
      </c>
      <c r="N16" s="7">
        <v>767.1</v>
      </c>
      <c r="O16" s="7">
        <v>69854.81</v>
      </c>
      <c r="P16" s="7">
        <v>83633.67</v>
      </c>
      <c r="Q16" s="7">
        <v>0</v>
      </c>
      <c r="R16" s="7">
        <v>4860.7</v>
      </c>
      <c r="S16" s="7">
        <v>1765.57</v>
      </c>
      <c r="T16" s="7">
        <v>16035.4</v>
      </c>
      <c r="U16" s="7">
        <v>206606.79</v>
      </c>
      <c r="V16" s="7">
        <v>23677.38</v>
      </c>
      <c r="W16" s="9">
        <v>424503.91</v>
      </c>
      <c r="X16" s="10">
        <v>881840.97</v>
      </c>
      <c r="AA16" s="7">
        <v>179268.62</v>
      </c>
      <c r="AB16" s="7">
        <v>313306.09999999998</v>
      </c>
      <c r="AC16" s="7">
        <v>231432.09</v>
      </c>
      <c r="AD16" s="7">
        <v>25949.79</v>
      </c>
      <c r="AE16" s="7">
        <v>847806.64</v>
      </c>
    </row>
    <row r="17" spans="1:31" x14ac:dyDescent="0.25">
      <c r="A17">
        <v>1989</v>
      </c>
      <c r="B17" s="7">
        <v>88592.14</v>
      </c>
      <c r="C17" s="7">
        <v>88136.08</v>
      </c>
      <c r="D17" s="7">
        <v>36483.519999999997</v>
      </c>
      <c r="E17" s="7">
        <v>0</v>
      </c>
      <c r="F17" s="7">
        <v>244008.33</v>
      </c>
      <c r="G17" s="7">
        <v>28347.78</v>
      </c>
      <c r="H17" s="7">
        <v>1023.79</v>
      </c>
      <c r="I17" s="7">
        <v>0</v>
      </c>
      <c r="J17" s="8">
        <v>486591.63</v>
      </c>
      <c r="K17" s="7">
        <v>0</v>
      </c>
      <c r="L17" s="7">
        <v>0</v>
      </c>
      <c r="M17" s="7">
        <v>4846.6499999999996</v>
      </c>
      <c r="N17" s="7">
        <v>767.74</v>
      </c>
      <c r="O17" s="7">
        <v>74470.62</v>
      </c>
      <c r="P17" s="7">
        <v>89470.61</v>
      </c>
      <c r="Q17" s="7">
        <v>0</v>
      </c>
      <c r="R17" s="7">
        <v>3268.59</v>
      </c>
      <c r="S17" s="7">
        <v>1918.81</v>
      </c>
      <c r="T17" s="7">
        <v>15857.05</v>
      </c>
      <c r="U17" s="7">
        <v>214885.89</v>
      </c>
      <c r="V17" s="7">
        <v>23468.03</v>
      </c>
      <c r="W17" s="9">
        <v>441230.3</v>
      </c>
      <c r="X17" s="10">
        <v>927821.94</v>
      </c>
      <c r="AA17" s="7">
        <v>188448.11</v>
      </c>
      <c r="AB17" s="7">
        <v>314524.55</v>
      </c>
      <c r="AC17" s="7">
        <v>233960.55</v>
      </c>
      <c r="AD17" s="7">
        <v>30646.62</v>
      </c>
      <c r="AE17" s="7">
        <v>866522.76</v>
      </c>
    </row>
    <row r="18" spans="1:31" x14ac:dyDescent="0.25">
      <c r="A18">
        <v>1990</v>
      </c>
      <c r="B18" s="7">
        <v>91518.62</v>
      </c>
      <c r="C18" s="7">
        <v>-1572.67</v>
      </c>
      <c r="D18" s="7">
        <v>38290.61</v>
      </c>
      <c r="E18" s="7">
        <v>0</v>
      </c>
      <c r="F18" s="7">
        <v>238908.78</v>
      </c>
      <c r="G18" s="7">
        <v>62992.7</v>
      </c>
      <c r="H18" s="7">
        <v>1199.51</v>
      </c>
      <c r="I18" s="7">
        <v>0</v>
      </c>
      <c r="J18" s="8">
        <v>431337.55</v>
      </c>
      <c r="K18" s="7">
        <v>0</v>
      </c>
      <c r="L18" s="7">
        <v>0</v>
      </c>
      <c r="M18" s="7">
        <v>5021.3599999999997</v>
      </c>
      <c r="N18" s="7">
        <v>793.26</v>
      </c>
      <c r="O18" s="7">
        <v>82821.649999999994</v>
      </c>
      <c r="P18" s="7">
        <v>96535.87</v>
      </c>
      <c r="Q18" s="7">
        <v>0</v>
      </c>
      <c r="R18" s="7">
        <v>8118.55</v>
      </c>
      <c r="S18" s="7">
        <v>2322</v>
      </c>
      <c r="T18" s="7">
        <v>23478.240000000002</v>
      </c>
      <c r="U18" s="7">
        <v>217518.48</v>
      </c>
      <c r="V18" s="7">
        <v>25306.55</v>
      </c>
      <c r="W18" s="9">
        <v>472711</v>
      </c>
      <c r="X18" s="10">
        <v>904048.55</v>
      </c>
      <c r="AA18" s="7">
        <v>204581.08</v>
      </c>
      <c r="AB18" s="7">
        <v>313973.53000000003</v>
      </c>
      <c r="AC18" s="7">
        <v>274525.63</v>
      </c>
      <c r="AD18" s="7">
        <v>31064.9</v>
      </c>
      <c r="AE18" s="7">
        <v>907625.63</v>
      </c>
    </row>
    <row r="19" spans="1:31" x14ac:dyDescent="0.25">
      <c r="A19">
        <v>1991</v>
      </c>
      <c r="B19" s="7">
        <v>74018.3</v>
      </c>
      <c r="C19" s="7">
        <v>8235.61</v>
      </c>
      <c r="D19" s="7">
        <v>38048.300000000003</v>
      </c>
      <c r="E19" s="7">
        <v>0</v>
      </c>
      <c r="F19" s="7">
        <v>246613.31</v>
      </c>
      <c r="G19" s="7">
        <v>29712.83</v>
      </c>
      <c r="H19" s="7">
        <v>1182.71</v>
      </c>
      <c r="I19" s="7">
        <v>0</v>
      </c>
      <c r="J19" s="8">
        <v>397811.06</v>
      </c>
      <c r="K19" s="7">
        <v>0</v>
      </c>
      <c r="L19" s="7">
        <v>0</v>
      </c>
      <c r="M19" s="7">
        <v>5022.97</v>
      </c>
      <c r="N19" s="7">
        <v>792.49</v>
      </c>
      <c r="O19" s="7">
        <v>70765.19</v>
      </c>
      <c r="P19" s="7">
        <v>100718.52</v>
      </c>
      <c r="Q19" s="7">
        <v>0</v>
      </c>
      <c r="R19" s="7">
        <v>8692.75</v>
      </c>
      <c r="S19" s="7">
        <v>2540.0700000000002</v>
      </c>
      <c r="T19" s="7">
        <v>24326.42</v>
      </c>
      <c r="U19" s="7">
        <v>223861.18</v>
      </c>
      <c r="V19" s="7">
        <v>24429.09</v>
      </c>
      <c r="W19" s="9">
        <v>472270.5</v>
      </c>
      <c r="X19" s="10">
        <v>870081.56</v>
      </c>
      <c r="AA19" s="7">
        <v>216037.05</v>
      </c>
      <c r="AB19" s="7">
        <v>314070.83</v>
      </c>
      <c r="AC19" s="7">
        <v>285789.94</v>
      </c>
      <c r="AD19" s="7">
        <v>33622.980000000003</v>
      </c>
      <c r="AE19" s="7">
        <v>918245.07</v>
      </c>
    </row>
    <row r="20" spans="1:31" x14ac:dyDescent="0.25">
      <c r="A20">
        <v>1992</v>
      </c>
      <c r="B20" s="7">
        <v>34252.67</v>
      </c>
      <c r="C20" s="7">
        <v>55159.15</v>
      </c>
      <c r="D20" s="7">
        <v>39288.86</v>
      </c>
      <c r="E20" s="7">
        <v>0</v>
      </c>
      <c r="F20" s="7">
        <v>244580.57</v>
      </c>
      <c r="G20" s="7">
        <v>26525.96</v>
      </c>
      <c r="H20" s="7">
        <v>1804.85</v>
      </c>
      <c r="I20" s="7">
        <v>0</v>
      </c>
      <c r="J20" s="8">
        <v>401612.05</v>
      </c>
      <c r="K20" s="7">
        <v>0</v>
      </c>
      <c r="L20" s="7">
        <v>0</v>
      </c>
      <c r="M20" s="7">
        <v>15146.96</v>
      </c>
      <c r="N20" s="7">
        <v>802.31</v>
      </c>
      <c r="O20" s="7">
        <v>83570.8</v>
      </c>
      <c r="P20" s="7">
        <v>93144.29</v>
      </c>
      <c r="Q20" s="7">
        <v>0</v>
      </c>
      <c r="R20" s="7">
        <v>6923.04</v>
      </c>
      <c r="S20" s="7">
        <v>2301.62</v>
      </c>
      <c r="T20" s="7">
        <v>21866.959999999999</v>
      </c>
      <c r="U20" s="7">
        <v>234155.03</v>
      </c>
      <c r="V20" s="7">
        <v>26036.52</v>
      </c>
      <c r="W20" s="9">
        <v>493861.47</v>
      </c>
      <c r="X20" s="10">
        <v>895473.51</v>
      </c>
      <c r="AA20" s="7">
        <v>183777.39</v>
      </c>
      <c r="AB20" s="7">
        <v>312894.40999999997</v>
      </c>
      <c r="AC20" s="7">
        <v>308819.7</v>
      </c>
      <c r="AD20" s="7">
        <v>35133.57</v>
      </c>
      <c r="AE20" s="7">
        <v>910522.29</v>
      </c>
    </row>
    <row r="21" spans="1:31" x14ac:dyDescent="0.25">
      <c r="A21">
        <v>1993</v>
      </c>
      <c r="B21" s="7">
        <v>46598.75</v>
      </c>
      <c r="C21" s="7">
        <v>81268.37</v>
      </c>
      <c r="D21" s="7">
        <v>19655.169999999998</v>
      </c>
      <c r="E21" s="7">
        <v>0</v>
      </c>
      <c r="F21" s="7">
        <v>234385.67</v>
      </c>
      <c r="G21" s="7">
        <v>28631.23</v>
      </c>
      <c r="H21" s="7">
        <v>2339.4299999999998</v>
      </c>
      <c r="I21" s="7">
        <v>0</v>
      </c>
      <c r="J21" s="8">
        <v>412878.61</v>
      </c>
      <c r="K21" s="7">
        <v>0</v>
      </c>
      <c r="L21" s="7">
        <v>0</v>
      </c>
      <c r="M21" s="7">
        <v>13849.89</v>
      </c>
      <c r="N21" s="7">
        <v>814.38</v>
      </c>
      <c r="O21" s="7">
        <v>90584.54</v>
      </c>
      <c r="P21" s="7">
        <v>99970.22</v>
      </c>
      <c r="Q21" s="7">
        <v>0</v>
      </c>
      <c r="R21" s="7">
        <v>15167.58</v>
      </c>
      <c r="S21" s="7">
        <v>1658.92</v>
      </c>
      <c r="T21" s="7">
        <v>23447.72</v>
      </c>
      <c r="U21" s="7">
        <v>230735.02</v>
      </c>
      <c r="V21" s="7">
        <v>27769.23</v>
      </c>
      <c r="W21" s="9">
        <v>516185.5</v>
      </c>
      <c r="X21" s="10">
        <v>929064.11</v>
      </c>
      <c r="AA21" s="7">
        <v>204229.61</v>
      </c>
      <c r="AB21" s="7">
        <v>311679.98</v>
      </c>
      <c r="AC21" s="7">
        <v>327281.71999999997</v>
      </c>
      <c r="AD21" s="7">
        <v>35779.56</v>
      </c>
      <c r="AE21" s="7">
        <v>955040.41</v>
      </c>
    </row>
    <row r="22" spans="1:31" x14ac:dyDescent="0.25">
      <c r="A22">
        <v>1994</v>
      </c>
      <c r="B22" s="7">
        <v>45934.1</v>
      </c>
      <c r="C22" s="7">
        <v>117500.72</v>
      </c>
      <c r="D22" s="7">
        <v>33674.559999999998</v>
      </c>
      <c r="E22" s="7">
        <v>0</v>
      </c>
      <c r="F22" s="7">
        <v>233140.98</v>
      </c>
      <c r="G22" s="7">
        <v>76858.94</v>
      </c>
      <c r="H22" s="7">
        <v>2338.35</v>
      </c>
      <c r="I22" s="7">
        <v>0</v>
      </c>
      <c r="J22" s="8">
        <v>509447.65</v>
      </c>
      <c r="K22" s="7">
        <v>0</v>
      </c>
      <c r="L22" s="7">
        <v>0</v>
      </c>
      <c r="M22" s="7">
        <v>15194.36</v>
      </c>
      <c r="N22" s="7">
        <v>813.58</v>
      </c>
      <c r="O22" s="7">
        <v>96845.47</v>
      </c>
      <c r="P22" s="7">
        <v>108886.47</v>
      </c>
      <c r="Q22" s="7">
        <v>0</v>
      </c>
      <c r="R22" s="7">
        <v>3013.05</v>
      </c>
      <c r="S22" s="7">
        <v>1461.41</v>
      </c>
      <c r="T22" s="7">
        <v>24078.880000000001</v>
      </c>
      <c r="U22" s="7">
        <v>239329.87</v>
      </c>
      <c r="V22" s="7">
        <v>28991.96</v>
      </c>
      <c r="W22" s="9">
        <v>532960.93000000005</v>
      </c>
      <c r="X22" s="10">
        <v>1042408.58</v>
      </c>
      <c r="AA22" s="7">
        <v>215316.68</v>
      </c>
      <c r="AB22" s="7">
        <v>308757.78999999998</v>
      </c>
      <c r="AC22" s="7">
        <v>336526.41</v>
      </c>
      <c r="AD22" s="7">
        <v>39983.339999999997</v>
      </c>
      <c r="AE22" s="7">
        <v>983166.49</v>
      </c>
    </row>
    <row r="23" spans="1:31" x14ac:dyDescent="0.25">
      <c r="A23">
        <v>1995</v>
      </c>
      <c r="B23" s="7">
        <v>45795.53</v>
      </c>
      <c r="C23" s="7">
        <v>78134.27</v>
      </c>
      <c r="D23" s="7">
        <v>50810.39</v>
      </c>
      <c r="E23" s="7">
        <v>0</v>
      </c>
      <c r="F23" s="7">
        <v>213429.98</v>
      </c>
      <c r="G23" s="7">
        <v>55624.480000000003</v>
      </c>
      <c r="H23" s="7">
        <v>2345.7399999999998</v>
      </c>
      <c r="I23" s="7">
        <v>0</v>
      </c>
      <c r="J23" s="8">
        <v>446140.39</v>
      </c>
      <c r="K23" s="7">
        <v>0</v>
      </c>
      <c r="L23" s="7">
        <v>0</v>
      </c>
      <c r="M23" s="7">
        <v>21735.35</v>
      </c>
      <c r="N23" s="7">
        <v>825.91</v>
      </c>
      <c r="O23" s="7">
        <v>105484.24</v>
      </c>
      <c r="P23" s="7">
        <v>114446.07</v>
      </c>
      <c r="Q23" s="7">
        <v>0</v>
      </c>
      <c r="R23" s="7">
        <v>7871.88</v>
      </c>
      <c r="S23" s="7">
        <v>1831.79</v>
      </c>
      <c r="T23" s="7">
        <v>25927.32</v>
      </c>
      <c r="U23" s="7">
        <v>251314.29</v>
      </c>
      <c r="V23" s="7">
        <v>30947.25</v>
      </c>
      <c r="W23" s="9">
        <v>573221.14</v>
      </c>
      <c r="X23" s="10">
        <v>1019361.53</v>
      </c>
      <c r="AA23" s="7">
        <v>211101.21</v>
      </c>
      <c r="AB23" s="7">
        <v>301550.13</v>
      </c>
      <c r="AC23" s="7">
        <v>341885.92</v>
      </c>
      <c r="AD23" s="7">
        <v>42210.46</v>
      </c>
      <c r="AE23" s="7">
        <v>978132.02</v>
      </c>
    </row>
    <row r="24" spans="1:31" x14ac:dyDescent="0.25">
      <c r="A24">
        <v>1996</v>
      </c>
      <c r="B24" s="7">
        <v>45193.98</v>
      </c>
      <c r="C24" s="7">
        <v>65857.45</v>
      </c>
      <c r="D24" s="7">
        <v>67848.350000000006</v>
      </c>
      <c r="E24" s="7">
        <v>0</v>
      </c>
      <c r="F24" s="7">
        <v>208722.29</v>
      </c>
      <c r="G24" s="7">
        <v>74975.8</v>
      </c>
      <c r="H24" s="7">
        <v>2582.3200000000002</v>
      </c>
      <c r="I24" s="7">
        <v>0</v>
      </c>
      <c r="J24" s="8">
        <v>465180.2</v>
      </c>
      <c r="K24" s="7">
        <v>0</v>
      </c>
      <c r="L24" s="7">
        <v>0</v>
      </c>
      <c r="M24" s="7">
        <v>17471.54</v>
      </c>
      <c r="N24" s="7">
        <v>826.57</v>
      </c>
      <c r="O24" s="7">
        <v>118823.02</v>
      </c>
      <c r="P24" s="7">
        <v>117551.61</v>
      </c>
      <c r="Q24" s="7">
        <v>0</v>
      </c>
      <c r="R24" s="7">
        <v>4445.45</v>
      </c>
      <c r="S24" s="7">
        <v>1798.52</v>
      </c>
      <c r="T24" s="7">
        <v>35187.89</v>
      </c>
      <c r="U24" s="7">
        <v>257935.6</v>
      </c>
      <c r="V24" s="7">
        <v>31182.22</v>
      </c>
      <c r="W24" s="9">
        <v>599286.25</v>
      </c>
      <c r="X24" s="10">
        <v>1064466.45</v>
      </c>
      <c r="AA24" s="7">
        <v>220407.52</v>
      </c>
      <c r="AB24" s="7">
        <v>301997.15999999997</v>
      </c>
      <c r="AC24" s="7">
        <v>350521.37</v>
      </c>
      <c r="AD24" s="7">
        <v>44686.07</v>
      </c>
      <c r="AE24" s="7">
        <v>999420.84</v>
      </c>
    </row>
    <row r="25" spans="1:31" x14ac:dyDescent="0.25">
      <c r="A25">
        <v>1997</v>
      </c>
      <c r="B25" s="7">
        <v>46346.47</v>
      </c>
      <c r="C25" s="7">
        <v>82425.919999999998</v>
      </c>
      <c r="D25" s="7">
        <v>67629.94</v>
      </c>
      <c r="E25" s="7">
        <v>0</v>
      </c>
      <c r="F25" s="7">
        <v>194210.38</v>
      </c>
      <c r="G25" s="7">
        <v>83286.880000000005</v>
      </c>
      <c r="H25" s="7">
        <v>2559.37</v>
      </c>
      <c r="I25" s="7">
        <v>0</v>
      </c>
      <c r="J25" s="8">
        <v>476458.97</v>
      </c>
      <c r="K25" s="7">
        <v>0</v>
      </c>
      <c r="L25" s="7">
        <v>0</v>
      </c>
      <c r="M25" s="7">
        <v>20516.34</v>
      </c>
      <c r="N25" s="7">
        <v>824.1</v>
      </c>
      <c r="O25" s="7">
        <v>114568.28</v>
      </c>
      <c r="P25" s="7">
        <v>119887.26</v>
      </c>
      <c r="Q25" s="7">
        <v>0</v>
      </c>
      <c r="R25" s="7">
        <v>3462.06</v>
      </c>
      <c r="S25" s="7">
        <v>1543.91</v>
      </c>
      <c r="T25" s="7">
        <v>36062.93</v>
      </c>
      <c r="U25" s="7">
        <v>257889.18</v>
      </c>
      <c r="V25" s="7">
        <v>32495.48</v>
      </c>
      <c r="W25" s="9">
        <v>603493.11</v>
      </c>
      <c r="X25" s="10">
        <v>1079952.0900000001</v>
      </c>
      <c r="AA25" s="7">
        <v>224721.21</v>
      </c>
      <c r="AB25" s="7">
        <v>288237.61</v>
      </c>
      <c r="AC25" s="7">
        <v>358583.54</v>
      </c>
      <c r="AD25" s="7">
        <v>49014.62</v>
      </c>
      <c r="AE25" s="7">
        <v>1006285.36</v>
      </c>
    </row>
    <row r="26" spans="1:31" x14ac:dyDescent="0.25">
      <c r="A26">
        <v>1998</v>
      </c>
      <c r="B26" s="7">
        <v>47296.160000000003</v>
      </c>
      <c r="C26" s="7">
        <v>68510.84</v>
      </c>
      <c r="D26" s="7">
        <v>95480.42</v>
      </c>
      <c r="E26" s="7">
        <v>0</v>
      </c>
      <c r="F26" s="7">
        <v>183157.98</v>
      </c>
      <c r="G26" s="7">
        <v>7102.87</v>
      </c>
      <c r="H26" s="7">
        <v>2747.6</v>
      </c>
      <c r="I26" s="7">
        <v>0</v>
      </c>
      <c r="J26" s="8">
        <v>404295.88</v>
      </c>
      <c r="K26" s="7">
        <v>0</v>
      </c>
      <c r="L26" s="7">
        <v>0</v>
      </c>
      <c r="M26" s="7">
        <v>19857.86</v>
      </c>
      <c r="N26" s="7">
        <v>2543.0300000000002</v>
      </c>
      <c r="O26" s="7">
        <v>121103.52</v>
      </c>
      <c r="P26" s="7">
        <v>123302.12</v>
      </c>
      <c r="Q26" s="7">
        <v>0</v>
      </c>
      <c r="R26" s="7">
        <v>10657.34</v>
      </c>
      <c r="S26" s="7">
        <v>1433.05</v>
      </c>
      <c r="T26" s="7">
        <v>32792.36</v>
      </c>
      <c r="U26" s="7">
        <v>256511.87</v>
      </c>
      <c r="V26" s="7">
        <v>30873.91</v>
      </c>
      <c r="W26" s="9">
        <v>615564.96</v>
      </c>
      <c r="X26" s="10">
        <v>1019860.84</v>
      </c>
      <c r="AA26" s="7">
        <v>216876.66</v>
      </c>
      <c r="AB26" s="7">
        <v>284065.34999999998</v>
      </c>
      <c r="AC26" s="7">
        <v>354929.06</v>
      </c>
      <c r="AD26" s="7">
        <v>51538.7</v>
      </c>
      <c r="AE26" s="7">
        <v>993306.34</v>
      </c>
    </row>
    <row r="27" spans="1:31" x14ac:dyDescent="0.25">
      <c r="A27">
        <v>1999</v>
      </c>
      <c r="B27" s="7">
        <v>47571.32</v>
      </c>
      <c r="C27" s="7">
        <v>66506.48</v>
      </c>
      <c r="D27" s="7">
        <v>64105.77</v>
      </c>
      <c r="E27" s="7">
        <v>0</v>
      </c>
      <c r="F27" s="7">
        <v>182448.09</v>
      </c>
      <c r="G27" s="7">
        <v>26673.94</v>
      </c>
      <c r="H27" s="7">
        <v>2699.61</v>
      </c>
      <c r="I27" s="7">
        <v>0</v>
      </c>
      <c r="J27" s="8">
        <v>390005.21</v>
      </c>
      <c r="K27" s="7">
        <v>0</v>
      </c>
      <c r="L27" s="7">
        <v>0</v>
      </c>
      <c r="M27" s="7">
        <v>16636.189999999999</v>
      </c>
      <c r="N27" s="7">
        <v>1628.4</v>
      </c>
      <c r="O27" s="7">
        <v>108714.49</v>
      </c>
      <c r="P27" s="7">
        <v>119325.65</v>
      </c>
      <c r="Q27" s="7">
        <v>0</v>
      </c>
      <c r="R27" s="7">
        <v>8371.11</v>
      </c>
      <c r="S27" s="7">
        <v>1433.33</v>
      </c>
      <c r="T27" s="7">
        <v>35219.519999999997</v>
      </c>
      <c r="U27" s="7">
        <v>221507.28</v>
      </c>
      <c r="V27" s="7">
        <v>30430.45</v>
      </c>
      <c r="W27" s="9">
        <v>560239.22</v>
      </c>
      <c r="X27" s="10">
        <v>950244.44</v>
      </c>
      <c r="AA27" s="7">
        <v>212361.73</v>
      </c>
      <c r="AB27" s="7">
        <v>282670.94</v>
      </c>
      <c r="AC27" s="7">
        <v>318455.78999999998</v>
      </c>
      <c r="AD27" s="7">
        <v>50182.16</v>
      </c>
      <c r="AE27" s="7">
        <v>946232.18</v>
      </c>
    </row>
    <row r="28" spans="1:31" x14ac:dyDescent="0.25">
      <c r="A28">
        <v>2000</v>
      </c>
      <c r="B28" s="7">
        <v>67732.63</v>
      </c>
      <c r="C28" s="7">
        <v>61132.9</v>
      </c>
      <c r="D28" s="7">
        <v>62123.18</v>
      </c>
      <c r="E28" s="7">
        <v>0</v>
      </c>
      <c r="F28" s="7">
        <v>176670.64</v>
      </c>
      <c r="G28" s="7">
        <v>24961.5</v>
      </c>
      <c r="H28" s="7">
        <v>2598.9</v>
      </c>
      <c r="I28" s="7">
        <v>0</v>
      </c>
      <c r="J28" s="8">
        <v>395219.75</v>
      </c>
      <c r="K28" s="7">
        <v>0</v>
      </c>
      <c r="L28" s="7">
        <v>0</v>
      </c>
      <c r="M28" s="7">
        <v>16875.64</v>
      </c>
      <c r="N28" s="7">
        <v>843.51</v>
      </c>
      <c r="O28" s="7">
        <v>115055.66</v>
      </c>
      <c r="P28" s="7">
        <v>128099.46</v>
      </c>
      <c r="Q28" s="7">
        <v>0</v>
      </c>
      <c r="R28" s="7">
        <v>12406</v>
      </c>
      <c r="S28" s="7">
        <v>1556.91</v>
      </c>
      <c r="T28" s="7">
        <v>43436.42</v>
      </c>
      <c r="U28" s="7">
        <v>211590.99</v>
      </c>
      <c r="V28" s="7">
        <v>28443.16</v>
      </c>
      <c r="W28" s="9">
        <v>575621.47</v>
      </c>
      <c r="X28" s="10">
        <v>970841.22</v>
      </c>
      <c r="AA28" s="7">
        <v>231655.42</v>
      </c>
      <c r="AB28" s="7">
        <v>282633.27</v>
      </c>
      <c r="AC28" s="7">
        <v>310544.81</v>
      </c>
      <c r="AD28" s="7">
        <v>52358.06</v>
      </c>
      <c r="AE28" s="7">
        <v>958828.97</v>
      </c>
    </row>
    <row r="29" spans="1:31" x14ac:dyDescent="0.25">
      <c r="A29">
        <v>2001</v>
      </c>
      <c r="B29" s="7">
        <v>67239.61</v>
      </c>
      <c r="C29" s="7">
        <v>56762.48</v>
      </c>
      <c r="D29" s="7">
        <v>81544.210000000006</v>
      </c>
      <c r="E29" s="7">
        <v>0</v>
      </c>
      <c r="F29" s="7">
        <v>173370.73</v>
      </c>
      <c r="G29" s="7">
        <v>33935.68</v>
      </c>
      <c r="H29" s="7">
        <v>2573.2800000000002</v>
      </c>
      <c r="I29" s="7">
        <v>0</v>
      </c>
      <c r="J29" s="8">
        <v>415425.99</v>
      </c>
      <c r="K29" s="7">
        <v>0</v>
      </c>
      <c r="L29" s="7">
        <v>0</v>
      </c>
      <c r="M29" s="7">
        <v>16352.39</v>
      </c>
      <c r="N29" s="7">
        <v>-1860.77</v>
      </c>
      <c r="O29" s="7">
        <v>129056.56</v>
      </c>
      <c r="P29" s="7">
        <v>125533.04</v>
      </c>
      <c r="Q29" s="7">
        <v>0</v>
      </c>
      <c r="R29" s="7">
        <v>14933.96</v>
      </c>
      <c r="S29" s="7">
        <v>1922.12</v>
      </c>
      <c r="T29" s="7">
        <v>44021.46</v>
      </c>
      <c r="U29" s="7">
        <v>190411.81</v>
      </c>
      <c r="V29" s="7">
        <v>27932.87</v>
      </c>
      <c r="W29" s="9">
        <v>563484.15</v>
      </c>
      <c r="X29" s="10">
        <v>978910.13</v>
      </c>
      <c r="AA29" s="7">
        <v>230865.12</v>
      </c>
      <c r="AB29" s="7">
        <v>283242.58</v>
      </c>
      <c r="AC29" s="7">
        <v>294512.65999999997</v>
      </c>
      <c r="AD29" s="7">
        <v>49870.96</v>
      </c>
      <c r="AE29" s="7">
        <v>926874.87</v>
      </c>
    </row>
    <row r="30" spans="1:31" x14ac:dyDescent="0.25">
      <c r="A30">
        <v>2002</v>
      </c>
      <c r="B30" s="7">
        <v>66609.23</v>
      </c>
      <c r="C30" s="7">
        <v>35872.050000000003</v>
      </c>
      <c r="D30" s="7">
        <v>93217</v>
      </c>
      <c r="E30" s="7">
        <v>0</v>
      </c>
      <c r="F30" s="7">
        <v>174333.11</v>
      </c>
      <c r="G30" s="7">
        <v>-6918.8</v>
      </c>
      <c r="H30" s="7">
        <v>2499.98</v>
      </c>
      <c r="I30" s="7">
        <v>0</v>
      </c>
      <c r="J30" s="8">
        <v>365612.57</v>
      </c>
      <c r="K30" s="7">
        <v>0</v>
      </c>
      <c r="L30" s="7">
        <v>0</v>
      </c>
      <c r="M30" s="7">
        <v>18576.27</v>
      </c>
      <c r="N30" s="7">
        <v>866.11</v>
      </c>
      <c r="O30" s="7">
        <v>125812.97</v>
      </c>
      <c r="P30" s="7">
        <v>128858.95</v>
      </c>
      <c r="Q30" s="7">
        <v>0</v>
      </c>
      <c r="R30" s="7">
        <v>18610.8</v>
      </c>
      <c r="S30" s="7">
        <v>1700.11</v>
      </c>
      <c r="T30" s="7">
        <v>43306.34</v>
      </c>
      <c r="U30" s="7">
        <v>188589.34</v>
      </c>
      <c r="V30" s="7">
        <v>29374.240000000002</v>
      </c>
      <c r="W30" s="9">
        <v>570193.24</v>
      </c>
      <c r="X30" s="10">
        <v>935805.81</v>
      </c>
      <c r="AA30" s="7">
        <v>244919.01</v>
      </c>
      <c r="AB30" s="7">
        <v>285511.21999999997</v>
      </c>
      <c r="AC30" s="7">
        <v>286773.69</v>
      </c>
      <c r="AD30" s="7">
        <v>50421.11</v>
      </c>
      <c r="AE30" s="7">
        <v>938199.63</v>
      </c>
    </row>
    <row r="31" spans="1:31" x14ac:dyDescent="0.25">
      <c r="A31">
        <v>2003</v>
      </c>
      <c r="B31" s="7">
        <v>76661.72</v>
      </c>
      <c r="C31" s="7">
        <v>34092.720000000001</v>
      </c>
      <c r="D31" s="7">
        <v>103402.22</v>
      </c>
      <c r="E31" s="7">
        <v>0</v>
      </c>
      <c r="F31" s="7">
        <v>176580.39</v>
      </c>
      <c r="G31" s="7">
        <v>8145.44</v>
      </c>
      <c r="H31" s="7">
        <v>2557.1</v>
      </c>
      <c r="I31" s="7">
        <v>0</v>
      </c>
      <c r="J31" s="8">
        <v>401439.61</v>
      </c>
      <c r="K31" s="7">
        <v>0</v>
      </c>
      <c r="L31" s="7">
        <v>0</v>
      </c>
      <c r="M31" s="7">
        <v>18213.95</v>
      </c>
      <c r="N31" s="7">
        <v>667.32</v>
      </c>
      <c r="O31" s="7">
        <v>125320.26</v>
      </c>
      <c r="P31" s="7">
        <v>134689.63</v>
      </c>
      <c r="Q31" s="7">
        <v>0</v>
      </c>
      <c r="R31" s="7">
        <v>6147.26</v>
      </c>
      <c r="S31" s="7">
        <v>1434.02</v>
      </c>
      <c r="T31" s="7">
        <v>41288.879999999997</v>
      </c>
      <c r="U31" s="7">
        <v>185574.22</v>
      </c>
      <c r="V31" s="7">
        <v>28002.42</v>
      </c>
      <c r="W31" s="9">
        <v>558563.37</v>
      </c>
      <c r="X31" s="10">
        <v>960002.98</v>
      </c>
      <c r="AA31" s="7">
        <v>258579.62</v>
      </c>
      <c r="AB31" s="7">
        <v>288554.89</v>
      </c>
      <c r="AC31" s="7">
        <v>300758.21000000002</v>
      </c>
      <c r="AD31" s="7">
        <v>52298.720000000001</v>
      </c>
      <c r="AE31" s="7">
        <v>977826.45</v>
      </c>
    </row>
    <row r="32" spans="1:31" x14ac:dyDescent="0.25">
      <c r="A32">
        <v>2004</v>
      </c>
      <c r="B32" s="7">
        <v>76102.16</v>
      </c>
      <c r="C32" s="7">
        <v>36622.199999999997</v>
      </c>
      <c r="D32" s="7">
        <v>115954.05</v>
      </c>
      <c r="E32" s="7">
        <v>0</v>
      </c>
      <c r="F32" s="7">
        <v>173373.56</v>
      </c>
      <c r="G32" s="7">
        <v>-746.55</v>
      </c>
      <c r="H32" s="7">
        <v>2545.02</v>
      </c>
      <c r="I32" s="7">
        <v>0</v>
      </c>
      <c r="J32" s="8">
        <v>403850.44</v>
      </c>
      <c r="K32" s="7">
        <v>0</v>
      </c>
      <c r="L32" s="7">
        <v>0</v>
      </c>
      <c r="M32" s="7">
        <v>17194.259999999998</v>
      </c>
      <c r="N32" s="7">
        <v>-1521.91</v>
      </c>
      <c r="O32" s="7">
        <v>144226.75</v>
      </c>
      <c r="P32" s="7">
        <v>141848.54</v>
      </c>
      <c r="Q32" s="7">
        <v>0</v>
      </c>
      <c r="R32" s="7">
        <v>3874.02</v>
      </c>
      <c r="S32" s="7">
        <v>1641.13</v>
      </c>
      <c r="T32" s="7">
        <v>37990.639999999999</v>
      </c>
      <c r="U32" s="7">
        <v>207366.07</v>
      </c>
      <c r="V32" s="7">
        <v>26726.34</v>
      </c>
      <c r="W32" s="9">
        <v>590449.53</v>
      </c>
      <c r="X32" s="10">
        <v>994299.97</v>
      </c>
      <c r="AA32" s="7">
        <v>291139.17</v>
      </c>
      <c r="AB32" s="7">
        <v>279156.08</v>
      </c>
      <c r="AC32" s="7">
        <v>320659.20000000001</v>
      </c>
      <c r="AD32" s="7">
        <v>45022.37</v>
      </c>
      <c r="AE32" s="7">
        <v>1014865.29</v>
      </c>
    </row>
    <row r="33" spans="1:31" x14ac:dyDescent="0.25">
      <c r="A33">
        <v>2005</v>
      </c>
      <c r="B33" s="7">
        <v>65758.929999999993</v>
      </c>
      <c r="C33" s="7">
        <v>-5117.2</v>
      </c>
      <c r="D33" s="7">
        <v>123262.05</v>
      </c>
      <c r="E33" s="7">
        <v>0</v>
      </c>
      <c r="F33" s="7">
        <v>170020.83</v>
      </c>
      <c r="G33" s="7">
        <v>17967.759999999998</v>
      </c>
      <c r="H33" s="7">
        <v>2422.9299999999998</v>
      </c>
      <c r="I33" s="7">
        <v>0</v>
      </c>
      <c r="J33" s="8">
        <v>374315.3</v>
      </c>
      <c r="K33" s="7">
        <v>500.19</v>
      </c>
      <c r="L33" s="7">
        <v>0</v>
      </c>
      <c r="M33" s="7">
        <v>17968.86</v>
      </c>
      <c r="N33" s="7">
        <v>2276.33</v>
      </c>
      <c r="O33" s="7">
        <v>159806.72</v>
      </c>
      <c r="P33" s="7">
        <v>145188.24</v>
      </c>
      <c r="Q33" s="7">
        <v>0</v>
      </c>
      <c r="R33" s="7">
        <v>1043.27</v>
      </c>
      <c r="S33" s="7">
        <v>1606.51</v>
      </c>
      <c r="T33" s="7">
        <v>41178.050000000003</v>
      </c>
      <c r="U33" s="7">
        <v>176119.55</v>
      </c>
      <c r="V33" s="7">
        <v>25395.279999999999</v>
      </c>
      <c r="W33" s="9">
        <v>584838.82999999996</v>
      </c>
      <c r="X33" s="10">
        <v>959154.13</v>
      </c>
      <c r="AA33" s="7">
        <v>284839.17</v>
      </c>
      <c r="AB33" s="7">
        <v>289589.34000000003</v>
      </c>
      <c r="AC33" s="7">
        <v>336435.96</v>
      </c>
      <c r="AD33" s="7">
        <v>46085.15</v>
      </c>
      <c r="AE33" s="7">
        <v>1032955.99</v>
      </c>
    </row>
    <row r="34" spans="1:31" x14ac:dyDescent="0.25">
      <c r="A34">
        <v>2006</v>
      </c>
      <c r="B34" s="7">
        <v>72652.5</v>
      </c>
      <c r="C34" s="7">
        <v>83880.84</v>
      </c>
      <c r="D34" s="7">
        <v>115702.23</v>
      </c>
      <c r="E34" s="7">
        <v>-790.56</v>
      </c>
      <c r="F34" s="7">
        <v>166331.48000000001</v>
      </c>
      <c r="G34" s="7">
        <v>3559.27</v>
      </c>
      <c r="H34" s="7">
        <v>2669.09</v>
      </c>
      <c r="I34" s="7">
        <v>-15.08</v>
      </c>
      <c r="J34" s="8">
        <v>443989.77</v>
      </c>
      <c r="K34" s="7">
        <v>0</v>
      </c>
      <c r="L34" s="7">
        <v>0</v>
      </c>
      <c r="M34" s="7">
        <v>3233.61</v>
      </c>
      <c r="N34" s="7">
        <v>7049.01</v>
      </c>
      <c r="O34" s="7">
        <v>194878.04</v>
      </c>
      <c r="P34" s="7">
        <v>143874.85999999999</v>
      </c>
      <c r="Q34" s="7">
        <v>10803.9</v>
      </c>
      <c r="R34" s="7">
        <v>2864.57</v>
      </c>
      <c r="S34" s="7">
        <v>0</v>
      </c>
      <c r="T34" s="7">
        <v>36275.79</v>
      </c>
      <c r="U34" s="7">
        <v>185515.65</v>
      </c>
      <c r="V34" s="7">
        <v>30925.54</v>
      </c>
      <c r="W34" s="9">
        <v>615420.96</v>
      </c>
      <c r="X34" s="10">
        <v>1059410.73</v>
      </c>
      <c r="AA34" s="7">
        <v>298004.96000000002</v>
      </c>
      <c r="AB34" s="7">
        <v>282396.81</v>
      </c>
      <c r="AC34" s="7">
        <v>340081.29</v>
      </c>
      <c r="AD34" s="7">
        <v>45307.28</v>
      </c>
      <c r="AE34" s="7">
        <v>1109904.47</v>
      </c>
    </row>
    <row r="35" spans="1:31" x14ac:dyDescent="0.25">
      <c r="A35">
        <v>2007</v>
      </c>
      <c r="B35" s="7">
        <v>82032.12</v>
      </c>
      <c r="C35" s="7">
        <v>50138.14</v>
      </c>
      <c r="D35" s="7">
        <v>126840.38</v>
      </c>
      <c r="E35" s="7">
        <v>-694.35</v>
      </c>
      <c r="F35" s="7">
        <v>163174.18</v>
      </c>
      <c r="G35" s="7">
        <v>1790.35</v>
      </c>
      <c r="H35" s="7">
        <v>2028.56</v>
      </c>
      <c r="I35" s="7">
        <v>-9.6199999999999992</v>
      </c>
      <c r="J35" s="8">
        <v>425299.77</v>
      </c>
      <c r="K35" s="7">
        <v>0</v>
      </c>
      <c r="L35" s="7">
        <v>0</v>
      </c>
      <c r="M35" s="7">
        <v>301.76</v>
      </c>
      <c r="N35" s="7">
        <v>1375.4</v>
      </c>
      <c r="O35" s="7">
        <v>208403.08</v>
      </c>
      <c r="P35" s="7">
        <v>151346.65</v>
      </c>
      <c r="Q35" s="7">
        <v>10872.28</v>
      </c>
      <c r="R35" s="7">
        <v>52678.59</v>
      </c>
      <c r="S35" s="7">
        <v>0</v>
      </c>
      <c r="T35" s="7">
        <v>44009.48</v>
      </c>
      <c r="U35" s="7">
        <v>179798.43</v>
      </c>
      <c r="V35" s="7">
        <v>28252.01</v>
      </c>
      <c r="W35" s="9">
        <v>677037.69</v>
      </c>
      <c r="X35" s="10">
        <v>1102337.46</v>
      </c>
      <c r="AA35" s="7">
        <v>217554.62</v>
      </c>
      <c r="AB35" s="7">
        <v>282868.57</v>
      </c>
      <c r="AC35" s="7">
        <v>353139.28</v>
      </c>
      <c r="AD35" s="7">
        <v>47121.760000000002</v>
      </c>
      <c r="AE35" s="7">
        <v>1043940.38</v>
      </c>
    </row>
    <row r="36" spans="1:31" x14ac:dyDescent="0.25">
      <c r="A36">
        <v>2008</v>
      </c>
      <c r="B36" s="7">
        <v>71821.72</v>
      </c>
      <c r="C36" s="7">
        <v>95736.320000000007</v>
      </c>
      <c r="D36" s="7">
        <v>310057.77</v>
      </c>
      <c r="E36" s="7">
        <v>-687.93</v>
      </c>
      <c r="F36" s="7">
        <v>160287.45000000001</v>
      </c>
      <c r="G36" s="7">
        <v>1747.38</v>
      </c>
      <c r="H36" s="7">
        <v>3688.03</v>
      </c>
      <c r="I36" s="7">
        <v>-6.91</v>
      </c>
      <c r="J36" s="8">
        <v>642643.84</v>
      </c>
      <c r="K36" s="7">
        <v>0</v>
      </c>
      <c r="L36" s="7">
        <v>0</v>
      </c>
      <c r="M36" s="7">
        <v>1630.02</v>
      </c>
      <c r="N36" s="7">
        <v>6570.77</v>
      </c>
      <c r="O36" s="7">
        <v>204719.85</v>
      </c>
      <c r="P36" s="7">
        <v>167116.32</v>
      </c>
      <c r="Q36" s="7">
        <v>10907.47</v>
      </c>
      <c r="R36" s="7">
        <v>42703.17</v>
      </c>
      <c r="S36" s="7">
        <v>0</v>
      </c>
      <c r="T36" s="7">
        <v>44040.68</v>
      </c>
      <c r="U36" s="7">
        <v>173296.12</v>
      </c>
      <c r="V36" s="7">
        <v>37300.07</v>
      </c>
      <c r="W36" s="9">
        <v>688284.46</v>
      </c>
      <c r="X36" s="10">
        <v>1330928.3</v>
      </c>
      <c r="AA36" s="7">
        <v>340758.83</v>
      </c>
      <c r="AB36" s="7">
        <v>273338.19</v>
      </c>
      <c r="AC36" s="7">
        <v>356571.34</v>
      </c>
      <c r="AD36" s="7">
        <v>51956.67</v>
      </c>
      <c r="AE36" s="7">
        <v>1212719.5900000001</v>
      </c>
    </row>
    <row r="37" spans="1:31" x14ac:dyDescent="0.25">
      <c r="A37">
        <v>2009</v>
      </c>
      <c r="B37" s="7">
        <v>90750.31</v>
      </c>
      <c r="C37" s="7">
        <v>85101.67</v>
      </c>
      <c r="D37" s="7">
        <v>298181.55</v>
      </c>
      <c r="E37" s="7">
        <v>-566.53</v>
      </c>
      <c r="F37" s="7">
        <v>157250.47</v>
      </c>
      <c r="G37" s="7">
        <v>1518.52</v>
      </c>
      <c r="H37" s="7">
        <v>3662.05</v>
      </c>
      <c r="I37" s="7">
        <v>-2.09</v>
      </c>
      <c r="J37" s="8">
        <v>635895.93999999994</v>
      </c>
      <c r="K37" s="7">
        <v>0</v>
      </c>
      <c r="L37" s="7">
        <v>0</v>
      </c>
      <c r="M37" s="7">
        <v>1273.1600000000001</v>
      </c>
      <c r="N37" s="7">
        <v>25996.19</v>
      </c>
      <c r="O37" s="7">
        <v>216690.68</v>
      </c>
      <c r="P37" s="7">
        <v>168620.45</v>
      </c>
      <c r="Q37" s="7">
        <v>11553.66</v>
      </c>
      <c r="R37" s="7">
        <v>2935.4</v>
      </c>
      <c r="S37" s="7">
        <v>0</v>
      </c>
      <c r="T37" s="7">
        <v>30325.26</v>
      </c>
      <c r="U37" s="7">
        <v>167877.81</v>
      </c>
      <c r="V37" s="7">
        <v>40216.160000000003</v>
      </c>
      <c r="W37" s="9">
        <v>665488.75</v>
      </c>
      <c r="X37" s="10">
        <v>1301384.69</v>
      </c>
      <c r="AA37" s="7">
        <v>312188.15999999997</v>
      </c>
      <c r="AB37" s="7">
        <v>273777.75</v>
      </c>
      <c r="AC37" s="7">
        <v>363231.43</v>
      </c>
      <c r="AD37" s="7">
        <v>54885.21</v>
      </c>
      <c r="AE37" s="7">
        <v>1193135.6000000001</v>
      </c>
    </row>
    <row r="38" spans="1:31" x14ac:dyDescent="0.25">
      <c r="A38">
        <v>2010</v>
      </c>
      <c r="B38" s="7">
        <v>73545.52</v>
      </c>
      <c r="C38" s="7">
        <v>79665.25</v>
      </c>
      <c r="D38" s="7">
        <v>194232.73</v>
      </c>
      <c r="E38" s="7">
        <v>-671.92</v>
      </c>
      <c r="F38" s="7">
        <v>153540.6</v>
      </c>
      <c r="G38" s="7">
        <v>1784.38</v>
      </c>
      <c r="H38" s="7">
        <v>4954.1499999999996</v>
      </c>
      <c r="I38" s="7">
        <v>-2.65</v>
      </c>
      <c r="J38" s="8">
        <v>507048.05</v>
      </c>
      <c r="K38" s="7">
        <v>0</v>
      </c>
      <c r="L38" s="7">
        <v>0</v>
      </c>
      <c r="M38" s="7">
        <v>511.74</v>
      </c>
      <c r="N38" s="7">
        <v>15931.62</v>
      </c>
      <c r="O38" s="7">
        <v>230260.4</v>
      </c>
      <c r="P38" s="7">
        <v>176495.11</v>
      </c>
      <c r="Q38" s="7">
        <v>13183.23</v>
      </c>
      <c r="R38" s="7">
        <v>6642.78</v>
      </c>
      <c r="S38" s="7">
        <v>0</v>
      </c>
      <c r="T38" s="7">
        <v>27814.69</v>
      </c>
      <c r="U38" s="7">
        <v>176012.17</v>
      </c>
      <c r="V38" s="7">
        <v>41041.93</v>
      </c>
      <c r="W38" s="9">
        <v>687893.67</v>
      </c>
      <c r="X38" s="10">
        <v>1194941.72</v>
      </c>
      <c r="AA38" s="7">
        <v>279254.34999999998</v>
      </c>
      <c r="AB38" s="7">
        <v>275793.63</v>
      </c>
      <c r="AC38" s="7">
        <v>371563.26</v>
      </c>
      <c r="AD38" s="7">
        <v>57978.33</v>
      </c>
      <c r="AE38" s="7">
        <v>1163516.51</v>
      </c>
    </row>
    <row r="39" spans="1:31" x14ac:dyDescent="0.25">
      <c r="A39">
        <v>2011</v>
      </c>
      <c r="B39" s="7">
        <v>79610.78</v>
      </c>
      <c r="C39" s="7">
        <v>75948.36</v>
      </c>
      <c r="D39" s="7">
        <v>200970.29</v>
      </c>
      <c r="E39" s="7">
        <v>-562.71</v>
      </c>
      <c r="F39" s="7">
        <v>149656.66</v>
      </c>
      <c r="G39" s="7">
        <v>1764.13</v>
      </c>
      <c r="H39" s="7">
        <v>4309.01</v>
      </c>
      <c r="I39" s="7">
        <v>-2.76</v>
      </c>
      <c r="J39" s="8">
        <v>511693.76</v>
      </c>
      <c r="K39" s="7">
        <v>0</v>
      </c>
      <c r="L39" s="7">
        <v>0</v>
      </c>
      <c r="M39" s="7">
        <v>701.07</v>
      </c>
      <c r="N39" s="7">
        <v>16761.73</v>
      </c>
      <c r="O39" s="7">
        <v>258138</v>
      </c>
      <c r="P39" s="7">
        <v>177526.63</v>
      </c>
      <c r="Q39" s="7">
        <v>12043.59</v>
      </c>
      <c r="R39" s="7">
        <v>7819.4</v>
      </c>
      <c r="S39" s="7">
        <v>0</v>
      </c>
      <c r="T39" s="7">
        <v>27113.51</v>
      </c>
      <c r="U39" s="7">
        <v>182610.08</v>
      </c>
      <c r="V39" s="7">
        <v>43672.81</v>
      </c>
      <c r="W39" s="9">
        <v>726386.82</v>
      </c>
      <c r="X39" s="10">
        <v>1238080.58</v>
      </c>
      <c r="AA39" s="7">
        <v>295730.05</v>
      </c>
      <c r="AB39" s="7">
        <v>277952.82</v>
      </c>
      <c r="AC39" s="7">
        <v>395396.22</v>
      </c>
      <c r="AD39" s="7">
        <v>60569.42</v>
      </c>
      <c r="AE39" s="7">
        <v>1227103</v>
      </c>
    </row>
    <row r="40" spans="1:31" x14ac:dyDescent="0.25">
      <c r="A40">
        <v>2012</v>
      </c>
      <c r="B40" s="7">
        <v>70454.880000000005</v>
      </c>
      <c r="C40" s="7">
        <v>100460.01</v>
      </c>
      <c r="D40" s="7">
        <v>234328.28</v>
      </c>
      <c r="E40" s="7">
        <v>-475.98</v>
      </c>
      <c r="F40" s="7">
        <v>145840.18</v>
      </c>
      <c r="G40" s="7">
        <v>1157.22</v>
      </c>
      <c r="H40" s="7">
        <v>4895.49</v>
      </c>
      <c r="I40" s="7">
        <v>-2.84</v>
      </c>
      <c r="J40" s="8">
        <v>556657.22</v>
      </c>
      <c r="K40" s="7">
        <v>0</v>
      </c>
      <c r="L40" s="7">
        <v>0</v>
      </c>
      <c r="M40" s="7">
        <v>745.42</v>
      </c>
      <c r="N40" s="7">
        <v>11352.82</v>
      </c>
      <c r="O40" s="7">
        <v>269353.95</v>
      </c>
      <c r="P40" s="7">
        <v>188448.3</v>
      </c>
      <c r="Q40" s="7">
        <v>13920.05</v>
      </c>
      <c r="R40" s="7">
        <v>40274.11</v>
      </c>
      <c r="S40" s="7">
        <v>0</v>
      </c>
      <c r="T40" s="7">
        <v>26051.99</v>
      </c>
      <c r="U40" s="7">
        <v>189938.31</v>
      </c>
      <c r="V40" s="7">
        <v>44540.27</v>
      </c>
      <c r="W40" s="9">
        <v>784625.23</v>
      </c>
      <c r="X40" s="10">
        <v>1341282.45</v>
      </c>
      <c r="AA40" s="7">
        <v>302503.07</v>
      </c>
      <c r="AB40" s="7">
        <v>272569.8</v>
      </c>
      <c r="AC40" s="7">
        <v>408274.86</v>
      </c>
      <c r="AD40" s="7">
        <v>64607.19</v>
      </c>
      <c r="AE40" s="7">
        <v>1266774.8400000001</v>
      </c>
    </row>
    <row r="41" spans="1:31" x14ac:dyDescent="0.25">
      <c r="A41">
        <v>2013</v>
      </c>
      <c r="B41" s="7">
        <v>74266.39</v>
      </c>
      <c r="C41" s="7">
        <v>87738.84</v>
      </c>
      <c r="D41" s="7">
        <v>250644.37</v>
      </c>
      <c r="E41" s="7">
        <v>-435.48</v>
      </c>
      <c r="F41" s="7">
        <v>141698.63</v>
      </c>
      <c r="G41" s="7">
        <v>626.47</v>
      </c>
      <c r="H41" s="7">
        <v>4135.72</v>
      </c>
      <c r="I41" s="7">
        <v>-2.96</v>
      </c>
      <c r="J41" s="8">
        <v>558671.98</v>
      </c>
      <c r="K41" s="7">
        <v>0</v>
      </c>
      <c r="L41" s="7">
        <v>0</v>
      </c>
      <c r="M41" s="7">
        <v>1000.59</v>
      </c>
      <c r="N41" s="7">
        <v>14496.12</v>
      </c>
      <c r="O41" s="7">
        <v>278540.88</v>
      </c>
      <c r="P41" s="7">
        <v>193966.22</v>
      </c>
      <c r="Q41" s="7">
        <v>13835.37</v>
      </c>
      <c r="R41" s="7">
        <v>86051.5</v>
      </c>
      <c r="S41" s="7">
        <v>0</v>
      </c>
      <c r="T41" s="7">
        <v>25433.79</v>
      </c>
      <c r="U41" s="7">
        <v>198072.52</v>
      </c>
      <c r="V41" s="7">
        <v>46252.160000000003</v>
      </c>
      <c r="W41" s="9">
        <v>857649.15</v>
      </c>
      <c r="X41" s="10">
        <v>1416321.13</v>
      </c>
      <c r="AA41" s="7">
        <v>307716.3</v>
      </c>
      <c r="AB41" s="7">
        <v>274879.77</v>
      </c>
      <c r="AC41" s="7">
        <v>423042.79</v>
      </c>
      <c r="AD41" s="7">
        <v>69426.649999999994</v>
      </c>
      <c r="AE41" s="7">
        <v>1294665.54</v>
      </c>
    </row>
    <row r="42" spans="1:31" x14ac:dyDescent="0.25">
      <c r="A42">
        <v>2014</v>
      </c>
      <c r="B42" s="7">
        <v>80745.350000000006</v>
      </c>
      <c r="C42" s="7">
        <v>83296.479999999996</v>
      </c>
      <c r="D42" s="7">
        <v>265042.11</v>
      </c>
      <c r="E42" s="7">
        <v>-498.94</v>
      </c>
      <c r="F42" s="7">
        <v>137648</v>
      </c>
      <c r="G42" s="7">
        <v>496.38</v>
      </c>
      <c r="H42" s="7">
        <v>6488.35</v>
      </c>
      <c r="I42" s="7">
        <v>-3.66</v>
      </c>
      <c r="J42" s="8">
        <v>573214.06000000006</v>
      </c>
      <c r="K42" s="7">
        <v>0</v>
      </c>
      <c r="L42" s="7">
        <v>0</v>
      </c>
      <c r="M42" s="7">
        <v>551.54999999999995</v>
      </c>
      <c r="N42" s="7">
        <v>12917.95</v>
      </c>
      <c r="O42" s="7">
        <v>289159.94</v>
      </c>
      <c r="P42" s="7">
        <v>203358.64</v>
      </c>
      <c r="Q42" s="7">
        <v>15800.52</v>
      </c>
      <c r="R42" s="7">
        <v>4407.32</v>
      </c>
      <c r="S42" s="7">
        <v>0</v>
      </c>
      <c r="T42" s="7">
        <v>25554.09</v>
      </c>
      <c r="U42" s="7">
        <v>210915.63</v>
      </c>
      <c r="V42" s="7">
        <v>44121.66</v>
      </c>
      <c r="W42" s="9">
        <v>806787.29</v>
      </c>
      <c r="X42" s="10">
        <v>1380001.35</v>
      </c>
      <c r="AA42" s="7">
        <v>313067.65000000002</v>
      </c>
      <c r="AB42" s="7">
        <v>273079.26</v>
      </c>
      <c r="AC42" s="7">
        <v>454896.05</v>
      </c>
      <c r="AD42" s="7">
        <v>69688.77</v>
      </c>
      <c r="AE42" s="7">
        <v>1345293.59</v>
      </c>
    </row>
    <row r="43" spans="1:31" x14ac:dyDescent="0.25">
      <c r="A43">
        <v>2015</v>
      </c>
      <c r="B43" s="7">
        <v>76372.28</v>
      </c>
      <c r="C43" s="7">
        <v>79026.59</v>
      </c>
      <c r="D43" s="7">
        <v>195433.68</v>
      </c>
      <c r="E43" s="7">
        <v>-419.48</v>
      </c>
      <c r="F43" s="7">
        <v>132778.04</v>
      </c>
      <c r="G43" s="7">
        <v>365.96</v>
      </c>
      <c r="H43" s="7">
        <v>3273.61</v>
      </c>
      <c r="I43" s="7">
        <v>-3.78</v>
      </c>
      <c r="J43" s="8">
        <v>486826.91</v>
      </c>
      <c r="K43" s="7">
        <v>0</v>
      </c>
      <c r="L43" s="7">
        <v>0</v>
      </c>
      <c r="M43" s="7">
        <v>158.44999999999999</v>
      </c>
      <c r="N43" s="7">
        <v>2000.49</v>
      </c>
      <c r="O43" s="7">
        <v>274399.21999999997</v>
      </c>
      <c r="P43" s="7">
        <v>209658.73</v>
      </c>
      <c r="Q43" s="7">
        <v>16240.37</v>
      </c>
      <c r="R43" s="7">
        <v>30174.98</v>
      </c>
      <c r="S43" s="7">
        <v>0</v>
      </c>
      <c r="T43" s="7">
        <v>33011.11</v>
      </c>
      <c r="U43" s="7">
        <v>220891.5</v>
      </c>
      <c r="V43" s="7">
        <v>37218.25</v>
      </c>
      <c r="W43" s="9">
        <v>823753.1</v>
      </c>
      <c r="X43" s="10">
        <v>1310580.01</v>
      </c>
      <c r="AA43" s="7">
        <v>290651.36</v>
      </c>
      <c r="AB43" s="7">
        <v>261449.67</v>
      </c>
      <c r="AC43" s="7">
        <v>460129.36</v>
      </c>
      <c r="AD43" s="7">
        <v>68053.81</v>
      </c>
      <c r="AE43" s="7">
        <v>1302169.22</v>
      </c>
    </row>
    <row r="44" spans="1:31" x14ac:dyDescent="0.25">
      <c r="A44">
        <v>2016</v>
      </c>
      <c r="B44" s="7">
        <v>74990.52</v>
      </c>
      <c r="C44" s="7">
        <v>81445.289999999994</v>
      </c>
      <c r="D44" s="7">
        <v>263699.40999999997</v>
      </c>
      <c r="E44" s="7">
        <v>-467.57</v>
      </c>
      <c r="F44" s="7">
        <v>128253.04</v>
      </c>
      <c r="G44" s="7">
        <v>420.02</v>
      </c>
      <c r="H44" s="7">
        <v>4272.66</v>
      </c>
      <c r="I44" s="7">
        <v>-4.05</v>
      </c>
      <c r="J44" s="8">
        <v>552609.31999999995</v>
      </c>
      <c r="K44" s="7">
        <v>-0.49</v>
      </c>
      <c r="L44" s="7">
        <v>0</v>
      </c>
      <c r="M44" s="7">
        <v>263.94</v>
      </c>
      <c r="N44" s="7">
        <v>898.23</v>
      </c>
      <c r="O44" s="7">
        <v>312795.18</v>
      </c>
      <c r="P44" s="7">
        <v>212081.18</v>
      </c>
      <c r="Q44" s="7">
        <v>16086.34</v>
      </c>
      <c r="R44" s="7">
        <v>35898.11</v>
      </c>
      <c r="S44" s="7">
        <v>0</v>
      </c>
      <c r="T44" s="7">
        <v>34896.080000000002</v>
      </c>
      <c r="U44" s="7">
        <v>241319.04000000001</v>
      </c>
      <c r="V44" s="7">
        <v>46703.24</v>
      </c>
      <c r="W44" s="9">
        <v>900940.84</v>
      </c>
      <c r="X44" s="10">
        <v>1453550.16</v>
      </c>
      <c r="AA44" s="7">
        <v>315514.51</v>
      </c>
      <c r="AB44" s="7">
        <v>260550.27</v>
      </c>
      <c r="AC44" s="7">
        <v>474380.79999999999</v>
      </c>
      <c r="AD44" s="7">
        <v>69103.03</v>
      </c>
      <c r="AE44" s="7">
        <v>1340421.56</v>
      </c>
    </row>
    <row r="45" spans="1:31" x14ac:dyDescent="0.25">
      <c r="A45">
        <v>2017</v>
      </c>
      <c r="B45" s="7">
        <v>81689.77</v>
      </c>
      <c r="C45" s="7">
        <v>87236.68</v>
      </c>
      <c r="D45" s="7">
        <v>281827.01</v>
      </c>
      <c r="E45" s="7">
        <v>-532</v>
      </c>
      <c r="F45" s="7">
        <v>117212.4</v>
      </c>
      <c r="G45" s="7">
        <v>407.84</v>
      </c>
      <c r="H45" s="7">
        <v>8363.7199999999993</v>
      </c>
      <c r="I45" s="7">
        <v>-3.6</v>
      </c>
      <c r="J45" s="8">
        <v>576201.81999999995</v>
      </c>
      <c r="K45" s="7">
        <v>1.46</v>
      </c>
      <c r="L45" s="7">
        <v>0</v>
      </c>
      <c r="M45" s="7">
        <v>295.07</v>
      </c>
      <c r="N45" s="7">
        <v>1261.5</v>
      </c>
      <c r="O45" s="7">
        <v>272932.23</v>
      </c>
      <c r="P45" s="7">
        <v>218703.59</v>
      </c>
      <c r="Q45" s="7">
        <v>17710.09</v>
      </c>
      <c r="R45" s="7">
        <v>31895.54</v>
      </c>
      <c r="S45" s="7">
        <v>0</v>
      </c>
      <c r="T45" s="7">
        <v>41106.68</v>
      </c>
      <c r="U45" s="7">
        <v>243017.71</v>
      </c>
      <c r="V45" s="7">
        <v>50932.68</v>
      </c>
      <c r="W45" s="9">
        <v>877856.53</v>
      </c>
      <c r="X45" s="10">
        <v>1454058.36</v>
      </c>
      <c r="AA45" s="7">
        <v>310146.21000000002</v>
      </c>
      <c r="AB45" s="7">
        <v>251592.3</v>
      </c>
      <c r="AC45" s="7">
        <v>497173.27</v>
      </c>
      <c r="AD45" s="7">
        <v>78094.27</v>
      </c>
      <c r="AE45" s="7">
        <v>1313941.05</v>
      </c>
    </row>
    <row r="46" spans="1:31" x14ac:dyDescent="0.25">
      <c r="A46">
        <v>2018</v>
      </c>
      <c r="B46" s="7">
        <v>83954</v>
      </c>
      <c r="C46" s="7">
        <v>93610</v>
      </c>
      <c r="D46" s="7">
        <v>286648</v>
      </c>
      <c r="E46" s="7">
        <v>-578</v>
      </c>
      <c r="F46" s="7">
        <v>117426</v>
      </c>
      <c r="G46" s="7">
        <v>432</v>
      </c>
      <c r="H46" s="7">
        <v>9116</v>
      </c>
      <c r="I46" s="7">
        <v>0</v>
      </c>
      <c r="J46" s="15">
        <f t="shared" ref="J46:J51" si="0">SUM(B46:I46)</f>
        <v>590608</v>
      </c>
      <c r="K46" s="7">
        <v>0</v>
      </c>
      <c r="L46" s="7">
        <v>0</v>
      </c>
      <c r="M46" s="7">
        <v>241</v>
      </c>
      <c r="N46" s="7">
        <v>797</v>
      </c>
      <c r="O46" s="7">
        <v>287242</v>
      </c>
      <c r="P46" s="7">
        <v>217686</v>
      </c>
      <c r="Q46" s="7">
        <v>18985</v>
      </c>
      <c r="R46" s="7">
        <v>65146</v>
      </c>
      <c r="S46" s="7">
        <v>0</v>
      </c>
      <c r="T46" s="7">
        <v>28266</v>
      </c>
      <c r="U46" s="7">
        <v>247292</v>
      </c>
      <c r="V46" s="7">
        <v>52481</v>
      </c>
      <c r="W46" s="13">
        <f t="shared" ref="W46:W51" si="1">SUM(K46:V46)</f>
        <v>918136</v>
      </c>
      <c r="X46" s="14">
        <f>W46+J46</f>
        <v>1508744</v>
      </c>
      <c r="AA46" s="7">
        <v>341013</v>
      </c>
      <c r="AB46" s="12">
        <v>259958</v>
      </c>
      <c r="AC46" s="7">
        <v>499064</v>
      </c>
      <c r="AD46" s="7">
        <v>69677</v>
      </c>
      <c r="AE46" s="7">
        <v>1377091.001997906</v>
      </c>
    </row>
    <row r="47" spans="1:31" x14ac:dyDescent="0.25">
      <c r="A47">
        <v>2019</v>
      </c>
      <c r="B47" s="7">
        <v>78153</v>
      </c>
      <c r="C47" s="7">
        <v>82734</v>
      </c>
      <c r="D47" s="7">
        <v>281673</v>
      </c>
      <c r="E47" s="7">
        <v>-716</v>
      </c>
      <c r="F47" s="7">
        <v>109133</v>
      </c>
      <c r="G47" s="7">
        <v>420</v>
      </c>
      <c r="H47" s="7">
        <v>6966</v>
      </c>
      <c r="I47" s="7">
        <v>0</v>
      </c>
      <c r="J47" s="15">
        <f t="shared" si="0"/>
        <v>558363</v>
      </c>
      <c r="K47" s="7">
        <v>0</v>
      </c>
      <c r="L47" s="7">
        <v>0</v>
      </c>
      <c r="M47" s="7">
        <v>72</v>
      </c>
      <c r="N47" s="7">
        <v>504</v>
      </c>
      <c r="O47" s="7">
        <v>282319</v>
      </c>
      <c r="P47" s="7">
        <v>236949</v>
      </c>
      <c r="Q47" s="7">
        <v>21001</v>
      </c>
      <c r="R47" s="7">
        <v>54747</v>
      </c>
      <c r="S47" s="7">
        <v>0</v>
      </c>
      <c r="T47" s="7">
        <v>35125</v>
      </c>
      <c r="U47" s="7">
        <v>263779</v>
      </c>
      <c r="V47" s="7">
        <v>53035</v>
      </c>
      <c r="W47" s="13">
        <f t="shared" si="1"/>
        <v>947531</v>
      </c>
      <c r="X47" s="14">
        <f>W47+J47</f>
        <v>1505894</v>
      </c>
      <c r="AA47" s="12">
        <v>309320</v>
      </c>
      <c r="AB47" s="12">
        <v>261766</v>
      </c>
      <c r="AC47" s="12">
        <v>523378</v>
      </c>
      <c r="AD47" s="12">
        <v>80592</v>
      </c>
      <c r="AE47" s="12">
        <v>1367773.6529667897</v>
      </c>
    </row>
    <row r="48" spans="1:31" x14ac:dyDescent="0.25">
      <c r="A48">
        <v>2020</v>
      </c>
      <c r="B48" s="7">
        <v>78912</v>
      </c>
      <c r="C48" s="7">
        <v>75678</v>
      </c>
      <c r="D48" s="7">
        <v>275350</v>
      </c>
      <c r="E48" s="7">
        <v>-641</v>
      </c>
      <c r="F48" s="7">
        <v>105400</v>
      </c>
      <c r="G48" s="7">
        <v>406</v>
      </c>
      <c r="H48" s="7">
        <v>7188</v>
      </c>
      <c r="I48" s="7">
        <v>0</v>
      </c>
      <c r="J48" s="15">
        <f t="shared" si="0"/>
        <v>542293</v>
      </c>
      <c r="K48" s="7">
        <v>0</v>
      </c>
      <c r="L48" s="7">
        <v>0</v>
      </c>
      <c r="M48" s="7">
        <v>118</v>
      </c>
      <c r="N48" s="7">
        <v>468</v>
      </c>
      <c r="O48" s="7">
        <v>225092</v>
      </c>
      <c r="P48" s="7">
        <v>229216</v>
      </c>
      <c r="Q48" s="7">
        <v>19993</v>
      </c>
      <c r="R48" s="7">
        <v>15749</v>
      </c>
      <c r="S48" s="7">
        <v>0</v>
      </c>
      <c r="T48" s="7">
        <v>31378</v>
      </c>
      <c r="U48" s="7">
        <v>223985</v>
      </c>
      <c r="V48" s="7">
        <v>38102</v>
      </c>
      <c r="W48" s="13">
        <f t="shared" si="1"/>
        <v>784101</v>
      </c>
      <c r="X48" s="14">
        <f>W48+J48</f>
        <v>1326394</v>
      </c>
      <c r="AA48" s="12">
        <v>290459</v>
      </c>
      <c r="AB48" s="12">
        <v>262633</v>
      </c>
      <c r="AC48" s="12">
        <v>435610</v>
      </c>
      <c r="AD48" s="12">
        <v>72997</v>
      </c>
      <c r="AE48" s="12">
        <v>1241375.6840453506</v>
      </c>
    </row>
    <row r="49" spans="1:31" x14ac:dyDescent="0.25">
      <c r="A49">
        <v>2021</v>
      </c>
      <c r="B49" s="12">
        <v>69445.762581105024</v>
      </c>
      <c r="C49" s="12">
        <v>80808.612444358063</v>
      </c>
      <c r="D49" s="12">
        <v>319737.21974637627</v>
      </c>
      <c r="E49" s="12">
        <v>-450.49569408965198</v>
      </c>
      <c r="F49" s="12">
        <v>123147.05623163316</v>
      </c>
      <c r="G49" s="12">
        <v>399.84820954792667</v>
      </c>
      <c r="H49" s="12">
        <v>7696.5014200000005</v>
      </c>
      <c r="I49" s="7">
        <v>0</v>
      </c>
      <c r="J49" s="15">
        <f t="shared" si="0"/>
        <v>600784.50493893074</v>
      </c>
      <c r="K49" s="12">
        <v>0.38184367996427682</v>
      </c>
      <c r="L49" s="7">
        <v>0</v>
      </c>
      <c r="M49" s="12">
        <v>418.92516000000001</v>
      </c>
      <c r="N49" s="12">
        <v>857.52261848398484</v>
      </c>
      <c r="O49" s="12">
        <v>267277.16048499121</v>
      </c>
      <c r="P49" s="12">
        <v>241710.94446259589</v>
      </c>
      <c r="Q49" s="12">
        <v>18630</v>
      </c>
      <c r="R49" s="12">
        <v>13746.815844598003</v>
      </c>
      <c r="S49" s="7">
        <v>0</v>
      </c>
      <c r="T49" s="12">
        <v>34805.688198508054</v>
      </c>
      <c r="U49" s="12">
        <v>287199.16426961002</v>
      </c>
      <c r="V49" s="12">
        <v>41980.756854902385</v>
      </c>
      <c r="W49" s="13">
        <f t="shared" si="1"/>
        <v>906627.35973736958</v>
      </c>
      <c r="X49" s="14">
        <f t="shared" ref="X49:X51" si="2">W49+J49</f>
        <v>1507411.8646763004</v>
      </c>
      <c r="AA49" s="12">
        <v>328990.76471989823</v>
      </c>
      <c r="AB49" s="12">
        <v>281350.26193535607</v>
      </c>
      <c r="AC49" s="12">
        <v>535981.67369210173</v>
      </c>
      <c r="AD49" s="12">
        <v>67357.795094781759</v>
      </c>
      <c r="AE49" s="12">
        <v>1420994.4388940791</v>
      </c>
    </row>
    <row r="50" spans="1:31" x14ac:dyDescent="0.25">
      <c r="A50">
        <v>2022</v>
      </c>
      <c r="B50" s="12">
        <v>70902.354231223784</v>
      </c>
      <c r="C50" s="12">
        <v>85866.15981910727</v>
      </c>
      <c r="D50" s="12">
        <v>297701.94948152622</v>
      </c>
      <c r="E50" s="12">
        <v>-479.29394136337214</v>
      </c>
      <c r="F50" s="12">
        <v>116320.09906210878</v>
      </c>
      <c r="G50" s="12">
        <v>422.94918044644874</v>
      </c>
      <c r="H50" s="12">
        <v>8842.2458700000007</v>
      </c>
      <c r="I50" s="7">
        <v>0</v>
      </c>
      <c r="J50" s="15">
        <f t="shared" si="0"/>
        <v>579576.46370304911</v>
      </c>
      <c r="K50" s="12">
        <v>1.1767953457346891</v>
      </c>
      <c r="L50" s="7">
        <v>0</v>
      </c>
      <c r="M50" s="12">
        <v>136.53978000000004</v>
      </c>
      <c r="N50" s="12">
        <v>1045.0190999999904</v>
      </c>
      <c r="O50" s="12">
        <v>321588.61792094156</v>
      </c>
      <c r="P50" s="12">
        <v>248654.51475685189</v>
      </c>
      <c r="Q50" s="12">
        <v>19658.87124109632</v>
      </c>
      <c r="R50" s="12">
        <v>13127.873124964632</v>
      </c>
      <c r="S50" s="7">
        <v>0</v>
      </c>
      <c r="T50" s="12">
        <v>37872.738640441363</v>
      </c>
      <c r="U50" s="12">
        <v>315250.16323414672</v>
      </c>
      <c r="V50" s="12">
        <v>57522.239805072903</v>
      </c>
      <c r="W50" s="13">
        <f t="shared" si="1"/>
        <v>1014857.7543988611</v>
      </c>
      <c r="X50" s="14">
        <f t="shared" si="2"/>
        <v>1594434.2181019103</v>
      </c>
      <c r="AA50" s="12">
        <v>332421.22489738639</v>
      </c>
      <c r="AB50" s="12">
        <v>275914.52058566816</v>
      </c>
      <c r="AC50" s="12">
        <v>605943.1353017668</v>
      </c>
      <c r="AD50" s="12">
        <v>74762.188766125066</v>
      </c>
      <c r="AE50" s="12">
        <v>1509318.5031850282</v>
      </c>
    </row>
    <row r="51" spans="1:31" x14ac:dyDescent="0.25">
      <c r="A51">
        <v>2023</v>
      </c>
      <c r="B51" s="12">
        <v>64173.300713559496</v>
      </c>
      <c r="C51" s="12">
        <v>83128.972305775445</v>
      </c>
      <c r="D51" s="12">
        <v>297122.90832258889</v>
      </c>
      <c r="E51" s="12">
        <v>-422.9030396619055</v>
      </c>
      <c r="F51" s="12">
        <v>114983.41388770526</v>
      </c>
      <c r="G51" s="12">
        <v>505.01472338137683</v>
      </c>
      <c r="H51" s="12">
        <v>9916.7712100000008</v>
      </c>
      <c r="I51" s="12">
        <v>0</v>
      </c>
      <c r="J51" s="15">
        <f t="shared" si="0"/>
        <v>569407.47812334867</v>
      </c>
      <c r="K51" s="12">
        <v>-1.463235842115175</v>
      </c>
      <c r="L51" s="12">
        <v>0</v>
      </c>
      <c r="M51" s="12">
        <v>174.30726000000001</v>
      </c>
      <c r="N51" s="12">
        <v>920.09759999999369</v>
      </c>
      <c r="O51" s="12">
        <v>299959.16314194386</v>
      </c>
      <c r="P51" s="12">
        <v>254377.94608800008</v>
      </c>
      <c r="Q51" s="12">
        <v>20478.028502879999</v>
      </c>
      <c r="R51" s="12">
        <v>34042.65597567863</v>
      </c>
      <c r="S51" s="7">
        <v>0</v>
      </c>
      <c r="T51" s="12">
        <v>37197.950491587209</v>
      </c>
      <c r="U51" s="12">
        <v>312689.98938702367</v>
      </c>
      <c r="V51" s="12">
        <v>58945.1899420193</v>
      </c>
      <c r="W51" s="13">
        <f t="shared" si="1"/>
        <v>1018783.8651532906</v>
      </c>
      <c r="X51" s="14">
        <f t="shared" si="2"/>
        <v>1588191.3432766392</v>
      </c>
      <c r="AA51" s="12">
        <v>327904.97857159877</v>
      </c>
      <c r="AB51" s="12">
        <v>274196.63422721578</v>
      </c>
      <c r="AC51" s="12">
        <v>593338.12047915719</v>
      </c>
      <c r="AD51" s="12">
        <v>83728.526868713612</v>
      </c>
      <c r="AE51" s="12">
        <v>1497259.1720968387</v>
      </c>
    </row>
    <row r="52" spans="1:31" x14ac:dyDescent="0.25">
      <c r="A52">
        <v>2024</v>
      </c>
      <c r="B52" s="7">
        <v>67184.179999999993</v>
      </c>
      <c r="C52" s="7">
        <v>81034.259999999995</v>
      </c>
      <c r="D52" s="7">
        <v>284347.17</v>
      </c>
      <c r="E52" s="7">
        <v>-375.31</v>
      </c>
      <c r="F52" s="7">
        <v>125934.51</v>
      </c>
      <c r="G52" s="7">
        <v>505.88</v>
      </c>
      <c r="H52" s="7">
        <v>9667.52</v>
      </c>
      <c r="I52" s="7">
        <v>0</v>
      </c>
      <c r="J52" s="8">
        <v>568298.19999999995</v>
      </c>
      <c r="K52" s="7">
        <v>0</v>
      </c>
      <c r="L52" s="7">
        <v>0</v>
      </c>
      <c r="M52" s="7">
        <v>163.77000000000001</v>
      </c>
      <c r="N52" s="7">
        <v>935.74</v>
      </c>
      <c r="O52" s="7">
        <v>299392.90999999997</v>
      </c>
      <c r="P52" s="7">
        <v>262328.18</v>
      </c>
      <c r="Q52" s="7">
        <v>20311.11</v>
      </c>
      <c r="R52" s="7">
        <v>24885.33</v>
      </c>
      <c r="S52" s="7">
        <v>0</v>
      </c>
      <c r="T52" s="7">
        <v>43303.88</v>
      </c>
      <c r="U52" s="7">
        <v>295214.55</v>
      </c>
      <c r="V52" s="7">
        <v>62930.63</v>
      </c>
      <c r="W52" s="9">
        <v>1009466.1</v>
      </c>
      <c r="X52" s="10">
        <v>1577764.3</v>
      </c>
      <c r="AA52" s="12">
        <v>320502.90000000002</v>
      </c>
      <c r="AB52" s="12">
        <v>284722.83</v>
      </c>
      <c r="AC52" s="12">
        <v>579465.69999999995</v>
      </c>
      <c r="AD52" s="12">
        <v>82040.009999999995</v>
      </c>
      <c r="AE52" s="12">
        <v>1498690.45</v>
      </c>
    </row>
  </sheetData>
  <mergeCells count="3">
    <mergeCell ref="B1:J1"/>
    <mergeCell ref="K1:W1"/>
    <mergeCell ref="AA1:A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FF98C-EFBA-4D9B-A6BF-65B77DCEBDCB}">
  <dimension ref="C5:G22"/>
  <sheetViews>
    <sheetView tabSelected="1" workbookViewId="0">
      <selection activeCell="I21" sqref="I21"/>
    </sheetView>
  </sheetViews>
  <sheetFormatPr baseColWidth="10" defaultRowHeight="15" x14ac:dyDescent="0.25"/>
  <cols>
    <col min="7" max="7" width="13.140625" bestFit="1" customWidth="1"/>
  </cols>
  <sheetData>
    <row r="5" spans="3:7" x14ac:dyDescent="0.25">
      <c r="C5" t="s">
        <v>33</v>
      </c>
      <c r="D5">
        <v>169631.77194545002</v>
      </c>
      <c r="E5">
        <v>104564.86228176576</v>
      </c>
      <c r="G5">
        <f t="shared" ref="G5:G11" si="0">SUM(D5:E5)</f>
        <v>274196.63422721578</v>
      </c>
    </row>
    <row r="6" spans="3:7" x14ac:dyDescent="0.25">
      <c r="G6">
        <f t="shared" si="0"/>
        <v>0</v>
      </c>
    </row>
    <row r="7" spans="3:7" x14ac:dyDescent="0.25">
      <c r="C7" t="s">
        <v>34</v>
      </c>
      <c r="D7">
        <v>250355.08237698057</v>
      </c>
      <c r="E7">
        <v>77549.896194618166</v>
      </c>
      <c r="G7">
        <f t="shared" si="0"/>
        <v>327904.97857159877</v>
      </c>
    </row>
    <row r="8" spans="3:7" x14ac:dyDescent="0.25">
      <c r="G8">
        <f t="shared" si="0"/>
        <v>0</v>
      </c>
    </row>
    <row r="9" spans="3:7" x14ac:dyDescent="0.25">
      <c r="C9" t="s">
        <v>35</v>
      </c>
      <c r="D9">
        <v>21776.645582738696</v>
      </c>
      <c r="E9">
        <v>61951.881285974909</v>
      </c>
      <c r="G9">
        <f t="shared" si="0"/>
        <v>83728.526868713612</v>
      </c>
    </row>
    <row r="10" spans="3:7" x14ac:dyDescent="0.25">
      <c r="G10">
        <f t="shared" si="0"/>
        <v>0</v>
      </c>
    </row>
    <row r="11" spans="3:7" x14ac:dyDescent="0.25">
      <c r="C11" t="s">
        <v>36</v>
      </c>
      <c r="D11">
        <v>19582.580669181185</v>
      </c>
      <c r="E11">
        <v>573755.53980997601</v>
      </c>
      <c r="G11">
        <f t="shared" si="0"/>
        <v>593338.12047915719</v>
      </c>
    </row>
    <row r="12" spans="3:7" x14ac:dyDescent="0.25">
      <c r="G12" s="11">
        <f t="shared" ref="G12:G22" si="1">SUM(D12:E12)</f>
        <v>0</v>
      </c>
    </row>
    <row r="13" spans="3:7" x14ac:dyDescent="0.25">
      <c r="G13" s="11">
        <f t="shared" si="1"/>
        <v>0</v>
      </c>
    </row>
    <row r="14" spans="3:7" x14ac:dyDescent="0.25">
      <c r="C14">
        <v>2017</v>
      </c>
      <c r="D14">
        <v>491826.00446812907</v>
      </c>
      <c r="E14">
        <v>822115.04323238367</v>
      </c>
      <c r="G14" s="12">
        <f t="shared" si="1"/>
        <v>1313941.0477005127</v>
      </c>
    </row>
    <row r="15" spans="3:7" x14ac:dyDescent="0.25">
      <c r="C15">
        <v>2018</v>
      </c>
      <c r="D15">
        <v>527869.59972064593</v>
      </c>
      <c r="E15">
        <v>849221.40227726009</v>
      </c>
      <c r="G15" s="12">
        <f t="shared" si="1"/>
        <v>1377091.001997906</v>
      </c>
    </row>
    <row r="16" spans="3:7" x14ac:dyDescent="0.25">
      <c r="C16" s="11">
        <v>2019</v>
      </c>
      <c r="D16">
        <v>488729.87120472826</v>
      </c>
      <c r="E16">
        <v>879043.78176206141</v>
      </c>
      <c r="G16" s="12">
        <f t="shared" si="1"/>
        <v>1367773.6529667897</v>
      </c>
    </row>
    <row r="17" spans="3:7" x14ac:dyDescent="0.25">
      <c r="C17" s="11">
        <v>2020</v>
      </c>
      <c r="D17">
        <v>456589.96892711363</v>
      </c>
      <c r="E17">
        <v>784785.71511823696</v>
      </c>
      <c r="G17" s="12">
        <f t="shared" si="1"/>
        <v>1241375.6840453506</v>
      </c>
    </row>
    <row r="18" spans="3:7" x14ac:dyDescent="0.25">
      <c r="C18" s="11">
        <v>2021</v>
      </c>
      <c r="D18">
        <v>514197.00801115268</v>
      </c>
      <c r="E18">
        <v>906797.43088292633</v>
      </c>
      <c r="G18" s="12">
        <f t="shared" si="1"/>
        <v>1420994.4388940791</v>
      </c>
    </row>
    <row r="19" spans="3:7" x14ac:dyDescent="0.25">
      <c r="C19" s="11">
        <v>2022</v>
      </c>
      <c r="D19">
        <v>515416.03198889946</v>
      </c>
      <c r="E19">
        <v>993902.47119612864</v>
      </c>
      <c r="G19" s="12">
        <f t="shared" si="1"/>
        <v>1509318.5031850282</v>
      </c>
    </row>
    <row r="20" spans="3:7" x14ac:dyDescent="0.25">
      <c r="C20">
        <v>2023</v>
      </c>
      <c r="D20">
        <v>506608.82224668027</v>
      </c>
      <c r="E20">
        <v>990650.34985015832</v>
      </c>
      <c r="G20" s="12">
        <f t="shared" si="1"/>
        <v>1497259.1720968387</v>
      </c>
    </row>
    <row r="21" spans="3:7" x14ac:dyDescent="0.25">
      <c r="G21" s="12">
        <f t="shared" si="1"/>
        <v>0</v>
      </c>
    </row>
    <row r="22" spans="3:7" x14ac:dyDescent="0.25">
      <c r="G22" s="12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2026-05-25T02:42:26Z</dcterms:created>
  <dcterms:modified xsi:type="dcterms:W3CDTF">2026-05-26T04:33:55Z</dcterms:modified>
</cp:coreProperties>
</file>